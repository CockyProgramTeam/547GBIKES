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emailsc-my.sharepoint.com/personal/stritzj_email_sc_edu/Documents/CSCE547G/CODEANALYSIS/"/>
    </mc:Choice>
  </mc:AlternateContent>
  <xr:revisionPtr revIDLastSave="0" documentId="8_{05F29B7F-1B12-4AC9-9580-59FCCC0B7942}" xr6:coauthVersionLast="47" xr6:coauthVersionMax="47" xr10:uidLastSave="{00000000-0000-0000-0000-000000000000}"/>
  <bookViews>
    <workbookView xWindow="-120" yWindow="-120" windowWidth="29040" windowHeight="15720" firstSheet="3" xr2:uid="{C7A6DFBA-E9CB-4E7F-893A-4725CFDEDE20}"/>
  </bookViews>
  <sheets>
    <sheet name="UI TOTALS" sheetId="9" r:id="rId1"/>
    <sheet name="ControllersLogicByType" sheetId="2" r:id="rId2"/>
    <sheet name="UIHTML" sheetId="4" r:id="rId3"/>
    <sheet name="UIREACT" sheetId="7" r:id="rId4"/>
    <sheet name="UIIONIC" sheetId="8" r:id="rId5"/>
    <sheet name="UIMANAGEROTHER" sheetId="11" r:id="rId6"/>
    <sheet name="BackOfficeBreakout" sheetId="3" r:id="rId7"/>
    <sheet name="FrontOfficeBreakout" sheetId="6" r:id="rId8"/>
    <sheet name="LSINFO" sheetId="5" r:id="rId9"/>
    <sheet name="AllEndpointsDetail-S1" sheetId="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7" i="11" l="1"/>
  <c r="F28" i="9"/>
  <c r="E25" i="9"/>
  <c r="E26" i="9"/>
  <c r="L10" i="9"/>
  <c r="L9" i="9"/>
  <c r="J11" i="9"/>
  <c r="I11" i="9"/>
  <c r="H11" i="9"/>
  <c r="G11" i="9"/>
  <c r="E11" i="9"/>
  <c r="K10" i="9"/>
  <c r="K9" i="9"/>
  <c r="F9" i="9"/>
  <c r="F11" i="9" s="1"/>
  <c r="J6" i="9"/>
  <c r="J5" i="9"/>
  <c r="J4" i="9"/>
  <c r="I7" i="9"/>
  <c r="H7" i="9"/>
  <c r="F27" i="11"/>
  <c r="E6" i="9" s="1"/>
  <c r="E27" i="11"/>
  <c r="D6" i="9" s="1"/>
  <c r="F6" i="9"/>
  <c r="B4" i="11"/>
  <c r="F5" i="9"/>
  <c r="F4" i="9"/>
  <c r="E4" i="9"/>
  <c r="D4" i="9"/>
  <c r="F3" i="9"/>
  <c r="F7" i="9" s="1"/>
  <c r="E3" i="9"/>
  <c r="D3" i="9"/>
  <c r="G3" i="9" s="1"/>
  <c r="G14" i="8"/>
  <c r="E14" i="8"/>
  <c r="B4" i="8"/>
  <c r="F37" i="7"/>
  <c r="G37" i="7"/>
  <c r="E37" i="7"/>
  <c r="B4" i="7"/>
  <c r="B5" i="7" s="1"/>
  <c r="E12" i="6"/>
  <c r="F32" i="6"/>
  <c r="F31" i="6"/>
  <c r="F30" i="6"/>
  <c r="F29" i="6"/>
  <c r="F26" i="6"/>
  <c r="F28" i="6"/>
  <c r="B51" i="4"/>
  <c r="B52" i="4" s="1"/>
  <c r="B53" i="4" s="1"/>
  <c r="F33" i="6"/>
  <c r="E5" i="6"/>
  <c r="B57" i="4"/>
  <c r="B58" i="4" s="1"/>
  <c r="B59" i="4" s="1"/>
  <c r="B61" i="2"/>
  <c r="B62" i="2" s="1"/>
  <c r="B63" i="2" s="1"/>
  <c r="O42" i="4"/>
  <c r="G34" i="4"/>
  <c r="F34" i="4"/>
  <c r="E34" i="4"/>
  <c r="B4" i="4"/>
  <c r="F32" i="3"/>
  <c r="D32" i="3"/>
  <c r="D30" i="3"/>
  <c r="M42" i="2"/>
  <c r="D25" i="3" s="1"/>
  <c r="F31" i="3" s="1"/>
  <c r="D12" i="3"/>
  <c r="B38" i="2"/>
  <c r="B39" i="2" s="1"/>
  <c r="B40" i="2" s="1"/>
  <c r="B41" i="2" s="1"/>
  <c r="B42" i="2" s="1"/>
  <c r="B43" i="2" s="1"/>
  <c r="B44" i="2" s="1"/>
  <c r="B45" i="2" s="1"/>
  <c r="B49" i="2"/>
  <c r="B50" i="2" s="1"/>
  <c r="B51" i="2" s="1"/>
  <c r="B52" i="2" s="1"/>
  <c r="B53" i="2" s="1"/>
  <c r="B54" i="2" s="1"/>
  <c r="B55" i="2" s="1"/>
  <c r="B56" i="2" s="1"/>
  <c r="B57" i="2" s="1"/>
  <c r="B4" i="2"/>
  <c r="K11" i="9" l="1"/>
  <c r="L11" i="9"/>
  <c r="H13" i="9"/>
  <c r="I13" i="9"/>
  <c r="K4" i="9"/>
  <c r="L4" i="9"/>
  <c r="K5" i="9"/>
  <c r="L5" i="9"/>
  <c r="K6" i="9"/>
  <c r="L6" i="9"/>
  <c r="G7" i="9"/>
  <c r="J3" i="9"/>
  <c r="E7" i="9"/>
  <c r="B5" i="11"/>
  <c r="B5" i="8"/>
  <c r="B6" i="7"/>
  <c r="B7" i="7" s="1"/>
  <c r="B8" i="7" s="1"/>
  <c r="B9" i="7" s="1"/>
  <c r="B10" i="7" s="1"/>
  <c r="B20" i="7" s="1"/>
  <c r="B11" i="7" s="1"/>
  <c r="B12" i="7" s="1"/>
  <c r="B13" i="7" s="1"/>
  <c r="B14" i="7" s="1"/>
  <c r="B15" i="7" s="1"/>
  <c r="B16" i="7" s="1"/>
  <c r="B17" i="7" s="1"/>
  <c r="B18" i="7" s="1"/>
  <c r="B19" i="7" s="1"/>
  <c r="B21" i="7" s="1"/>
  <c r="B22" i="7" s="1"/>
  <c r="B23" i="7" s="1"/>
  <c r="B24" i="7" s="1"/>
  <c r="B25" i="7" s="1"/>
  <c r="B5" i="4"/>
  <c r="B6" i="4" s="1"/>
  <c r="B7" i="4" s="1"/>
  <c r="B8" i="4" s="1"/>
  <c r="B9" i="4" s="1"/>
  <c r="B10" i="4" s="1"/>
  <c r="B20" i="4" s="1"/>
  <c r="B11" i="4" s="1"/>
  <c r="B12" i="4" s="1"/>
  <c r="B13" i="4" s="1"/>
  <c r="B14" i="4" s="1"/>
  <c r="B15" i="4" s="1"/>
  <c r="B16" i="4" s="1"/>
  <c r="B17" i="4" s="1"/>
  <c r="B18" i="4" s="1"/>
  <c r="B19" i="4" s="1"/>
  <c r="B21" i="4" s="1"/>
  <c r="B22" i="4" s="1"/>
  <c r="B23" i="4" s="1"/>
  <c r="B24" i="4" s="1"/>
  <c r="B25" i="4" s="1"/>
  <c r="B26" i="4" s="1"/>
  <c r="B27" i="4" s="1"/>
  <c r="D20" i="6"/>
  <c r="E20" i="6" s="1"/>
  <c r="E3" i="6"/>
  <c r="D29" i="6"/>
  <c r="E4" i="6"/>
  <c r="F34" i="6"/>
  <c r="E21" i="6"/>
  <c r="E19" i="6"/>
  <c r="E18" i="6"/>
  <c r="E14" i="6"/>
  <c r="E11" i="6"/>
  <c r="E10" i="6"/>
  <c r="E6" i="6"/>
  <c r="E13" i="6"/>
  <c r="O18" i="4"/>
  <c r="F30" i="3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J7" i="9" l="1"/>
  <c r="J13" i="9" s="1"/>
  <c r="G13" i="9"/>
  <c r="K3" i="9"/>
  <c r="L3" i="9"/>
  <c r="B6" i="11"/>
  <c r="B7" i="11" s="1"/>
  <c r="B8" i="11" s="1"/>
  <c r="B9" i="11" s="1"/>
  <c r="B10" i="11" s="1"/>
  <c r="B13" i="11" s="1"/>
  <c r="B14" i="11" s="1"/>
  <c r="B15" i="11" s="1"/>
  <c r="B16" i="11" s="1"/>
  <c r="B17" i="11" s="1"/>
  <c r="B18" i="11" s="1"/>
  <c r="B19" i="11" s="1"/>
  <c r="O18" i="11"/>
  <c r="B6" i="8"/>
  <c r="B7" i="8" s="1"/>
  <c r="B8" i="8" s="1"/>
  <c r="B9" i="8" s="1"/>
  <c r="B10" i="8" s="1"/>
  <c r="B12" i="8" s="1"/>
  <c r="B13" i="8" s="1"/>
  <c r="B26" i="7"/>
  <c r="B27" i="7" s="1"/>
  <c r="B28" i="7" s="1"/>
  <c r="B29" i="7" s="1"/>
  <c r="B30" i="7" s="1"/>
  <c r="O18" i="7"/>
  <c r="B28" i="4"/>
  <c r="B29" i="4"/>
  <c r="L24" i="2"/>
  <c r="L35" i="2"/>
  <c r="M36" i="2"/>
  <c r="D6" i="3" s="1"/>
  <c r="L16" i="2"/>
  <c r="D4" i="3" s="1"/>
  <c r="D28" i="3" s="1"/>
  <c r="F28" i="3" s="1"/>
  <c r="N35" i="2"/>
  <c r="L13" i="9" l="1"/>
  <c r="K13" i="9"/>
  <c r="B31" i="7"/>
  <c r="B32" i="7"/>
  <c r="B33" i="7"/>
  <c r="B34" i="7" s="1"/>
  <c r="B35" i="7" s="1"/>
  <c r="B36" i="7" s="1"/>
  <c r="B30" i="4"/>
  <c r="B31" i="4" s="1"/>
  <c r="B32" i="4" s="1"/>
  <c r="B33" i="4" s="1"/>
  <c r="B34" i="4"/>
  <c r="D3" i="3"/>
  <c r="D27" i="3"/>
  <c r="D5" i="3"/>
  <c r="D29" i="3"/>
  <c r="E6" i="3"/>
  <c r="F33" i="3"/>
  <c r="E17" i="3"/>
  <c r="E11" i="3"/>
  <c r="E10" i="3"/>
  <c r="E20" i="3"/>
  <c r="E18" i="3"/>
  <c r="E13" i="3"/>
  <c r="E12" i="3"/>
  <c r="E4" i="3"/>
  <c r="E3" i="3"/>
  <c r="D19" i="3"/>
  <c r="E19" i="3" s="1"/>
  <c r="E5" i="3"/>
  <c r="N24" i="2"/>
  <c r="O36" i="2"/>
  <c r="P35" i="2" s="1"/>
  <c r="N16" i="2"/>
  <c r="B14" i="8" l="1"/>
  <c r="B37" i="7"/>
</calcChain>
</file>

<file path=xl/sharedStrings.xml><?xml version="1.0" encoding="utf-8"?>
<sst xmlns="http://schemas.openxmlformats.org/spreadsheetml/2006/main" count="1829" uniqueCount="478">
  <si>
    <t>S1</t>
  </si>
  <si>
    <t>S2</t>
  </si>
  <si>
    <t>EXTRA</t>
  </si>
  <si>
    <t>JSS</t>
  </si>
  <si>
    <t>OTHER/CG</t>
  </si>
  <si>
    <t>T5/CG</t>
  </si>
  <si>
    <t>TOTALS</t>
  </si>
  <si>
    <t>JSS%</t>
  </si>
  <si>
    <t>JSS+Team</t>
  </si>
  <si>
    <t>Notes</t>
  </si>
  <si>
    <t>UIHTML</t>
  </si>
  <si>
    <t>Pravani Built SSO Pages</t>
  </si>
  <si>
    <t>UIREACT</t>
  </si>
  <si>
    <t>Lily Did S1 Design EndToEnd</t>
  </si>
  <si>
    <t>UIIONIC</t>
  </si>
  <si>
    <t>Slave to HTML Front-End</t>
  </si>
  <si>
    <t>UIMANAGER</t>
  </si>
  <si>
    <t>Manager Required For S2</t>
  </si>
  <si>
    <t>BACKOFFICE - EPS</t>
  </si>
  <si>
    <t>Kaleb Wrote Auth, 33 Tables * Avg of 5 EPs</t>
  </si>
  <si>
    <t>DTOs</t>
  </si>
  <si>
    <t>UNITS OF WORK</t>
  </si>
  <si>
    <t xml:space="preserve">As Designed with Combined JSS &amp; LCG </t>
  </si>
  <si>
    <t>Minimalistic Units of Work</t>
  </si>
  <si>
    <t>React</t>
  </si>
  <si>
    <t>Services</t>
  </si>
  <si>
    <t>EPs</t>
  </si>
  <si>
    <t>ParkReviews, Payments, Bookings + Pipeline North, Pipeline South</t>
  </si>
  <si>
    <t>Tables/Models</t>
  </si>
  <si>
    <t>Parks, ParkReviews, Users, Payments, Bookings, Cards, Logs</t>
  </si>
  <si>
    <t>Contexts</t>
  </si>
  <si>
    <t>Data Architecture</t>
  </si>
  <si>
    <t>Project Plan/Slides</t>
  </si>
  <si>
    <t>UG Teams with 4 People in Minimalism</t>
  </si>
  <si>
    <t>Units of Work Each</t>
  </si>
  <si>
    <t>JSS v AVG</t>
  </si>
  <si>
    <t>I was asked to work 15X more than the avg student in the class in a class I have already taken and got a B+</t>
  </si>
  <si>
    <t>I was impacted in 2 other classes, and I lost 1500.00 in Scholarship money, offset by grad contract.</t>
  </si>
  <si>
    <t>TECHNOLOGY CONTRIBUTION</t>
  </si>
  <si>
    <t>REQUIRED</t>
  </si>
  <si>
    <t>TYPE1</t>
  </si>
  <si>
    <t>TYPE2</t>
  </si>
  <si>
    <t>DISCUSSION</t>
  </si>
  <si>
    <t>ORIGIN</t>
  </si>
  <si>
    <t>DEVELOPER</t>
  </si>
  <si>
    <t>TEAM</t>
  </si>
  <si>
    <t>CODETYPE</t>
  </si>
  <si>
    <t>Adminlog</t>
  </si>
  <si>
    <t>NO</t>
  </si>
  <si>
    <t>SECURITY</t>
  </si>
  <si>
    <t>NEW</t>
  </si>
  <si>
    <t>547G-T5</t>
  </si>
  <si>
    <t>REST-ENDPOINT-NEW</t>
  </si>
  <si>
    <t>Apilog</t>
  </si>
  <si>
    <t>Booking</t>
  </si>
  <si>
    <t>SALES</t>
  </si>
  <si>
    <t>Card</t>
  </si>
  <si>
    <t>BUSINESS</t>
  </si>
  <si>
    <t>Cart</t>
  </si>
  <si>
    <t>Cartitem</t>
  </si>
  <si>
    <t>CartMaster</t>
  </si>
  <si>
    <t>Notify(Email-Sendmail)</t>
  </si>
  <si>
    <t>EXTRAC</t>
  </si>
  <si>
    <t>OPS</t>
  </si>
  <si>
    <t>Noctech</t>
  </si>
  <si>
    <t>Park</t>
  </si>
  <si>
    <t>ParkReview</t>
  </si>
  <si>
    <t>Payment</t>
  </si>
  <si>
    <t>SalesCatalogue</t>
  </si>
  <si>
    <t>Superuserlog</t>
  </si>
  <si>
    <t>Batch</t>
  </si>
  <si>
    <t>ERPEXTENSIONS</t>
  </si>
  <si>
    <t>UTILITY</t>
  </si>
  <si>
    <t>GSPORTALv2</t>
  </si>
  <si>
    <t>MODS from V1 to (V2)</t>
  </si>
  <si>
    <t>GS-&gt;MIX547G</t>
  </si>
  <si>
    <t>REST-PORTTOSQLITE</t>
  </si>
  <si>
    <t>Batchtype</t>
  </si>
  <si>
    <t>Company</t>
  </si>
  <si>
    <t>VERSION UPGRADE</t>
  </si>
  <si>
    <t>Customer</t>
  </si>
  <si>
    <t>Employee</t>
  </si>
  <si>
    <t>SSO</t>
  </si>
  <si>
    <t>File</t>
  </si>
  <si>
    <t>FileOps</t>
  </si>
  <si>
    <t>User</t>
  </si>
  <si>
    <t>Auth</t>
  </si>
  <si>
    <t>GSPORTALv1</t>
  </si>
  <si>
    <t>SPRING25</t>
  </si>
  <si>
    <t>K.BAUGH</t>
  </si>
  <si>
    <t>GHOST SQUAD</t>
  </si>
  <si>
    <t>Profile</t>
  </si>
  <si>
    <t>Sessionlog</t>
  </si>
  <si>
    <t>Site</t>
  </si>
  <si>
    <t>Learnlog</t>
  </si>
  <si>
    <t>TRAINING</t>
  </si>
  <si>
    <t>Useraction</t>
  </si>
  <si>
    <t>Usergroup</t>
  </si>
  <si>
    <t>Userhelp</t>
  </si>
  <si>
    <t>Userlog</t>
  </si>
  <si>
    <t>Userprofile</t>
  </si>
  <si>
    <t>Usersession</t>
  </si>
  <si>
    <t>CONSULTING AND DESIGN CONTRIBUTIONS</t>
  </si>
  <si>
    <t>Business Logic - Dirtbike Project - Base Design and Program Plan</t>
  </si>
  <si>
    <t>PROGRAM</t>
  </si>
  <si>
    <t>CAPGEMENI CONSULTING</t>
  </si>
  <si>
    <t>GC-SOUTHEAST</t>
  </si>
  <si>
    <t>BUSINESSLOGIC</t>
  </si>
  <si>
    <t>Business Logic - Greenville Associates Consulting - Park Rescope</t>
  </si>
  <si>
    <t>GREENVILLEASSOCIATES</t>
  </si>
  <si>
    <t>GA-CAROLINAS</t>
  </si>
  <si>
    <t>Business Logic - Greenville Associates Consulting - Park Visualizations</t>
  </si>
  <si>
    <t>Business Logic - Greenville Associates Consulting - Public Web to Mobile Arch</t>
  </si>
  <si>
    <t>Business Logic - Greenville Associates Consulting - SSO SQL Restrictions</t>
  </si>
  <si>
    <t>REQUIRED Eps</t>
  </si>
  <si>
    <t>Business Logic - Greenville Associates Consulting - ERP Flow Through Process</t>
  </si>
  <si>
    <t>Oversight-Audit-CG Consulting</t>
  </si>
  <si>
    <t>AUDIT</t>
  </si>
  <si>
    <t>Oversight-Audit - Plante - USC1</t>
  </si>
  <si>
    <t>PP</t>
  </si>
  <si>
    <t>USCSUM1</t>
  </si>
  <si>
    <t>EXTRA CREDIT</t>
  </si>
  <si>
    <t>Oversight-Audit - Hipp - USC2</t>
  </si>
  <si>
    <t>BH</t>
  </si>
  <si>
    <t>USCSUM2</t>
  </si>
  <si>
    <t>User and Management Stories</t>
  </si>
  <si>
    <t>PROCESS FLOWS</t>
  </si>
  <si>
    <t>JSS/PRAVANI</t>
  </si>
  <si>
    <t>OPERATIONS-FLOWS</t>
  </si>
  <si>
    <t>OTHER CONTRIBUTIONS</t>
  </si>
  <si>
    <t>SQLite</t>
  </si>
  <si>
    <t>USNAVY/GENERALDYNAMICS</t>
  </si>
  <si>
    <t>D. HIPP</t>
  </si>
  <si>
    <t>DATABASECORE</t>
  </si>
  <si>
    <t>SYSTEMD Mods - Hosting</t>
  </si>
  <si>
    <t>HOSTING</t>
  </si>
  <si>
    <t>CAPITOL TECHNOLOGY</t>
  </si>
  <si>
    <t>HOSTING OPS</t>
  </si>
  <si>
    <t>SOFTWARE DEVELOPMENT METHODOLOGY</t>
  </si>
  <si>
    <t>SOFTWARE ENGINEERING</t>
  </si>
  <si>
    <t>GREENVILLE ASSOCIATES</t>
  </si>
  <si>
    <t>DEVEL PROCESS</t>
  </si>
  <si>
    <t>JWT Token</t>
  </si>
  <si>
    <t>Jones, Microsoft,Bradley, Sakimura, NRI</t>
  </si>
  <si>
    <r>
      <t>RFC</t>
    </r>
    <r>
      <rPr>
        <b/>
        <sz val="8"/>
        <color rgb="FF000000"/>
        <rFont val="Arial"/>
        <family val="2"/>
      </rPr>
      <t> </t>
    </r>
    <r>
      <rPr>
        <b/>
        <sz val="8"/>
        <color rgb="FF3366CC"/>
        <rFont val="Arial"/>
        <family val="2"/>
      </rPr>
      <t>7519</t>
    </r>
  </si>
  <si>
    <t>ALGORITHMS</t>
  </si>
  <si>
    <t>Dapper</t>
  </si>
  <si>
    <t>ATWOOD,ET ALL</t>
  </si>
  <si>
    <t>DATABASEACCESS</t>
  </si>
  <si>
    <t>Entity Framework DB Layer</t>
  </si>
  <si>
    <t>VISUALSTUDIODEFAULT</t>
  </si>
  <si>
    <t>MICROSOFT</t>
  </si>
  <si>
    <t>REDMOND1</t>
  </si>
  <si>
    <t>Swagger Middleware</t>
  </si>
  <si>
    <t>TOOLS</t>
  </si>
  <si>
    <t>Visual Studio</t>
  </si>
  <si>
    <t>Visual Studio Code</t>
  </si>
  <si>
    <t>VSCODE</t>
  </si>
  <si>
    <t>WeatherForecast</t>
  </si>
  <si>
    <t>GET</t>
  </si>
  <si>
    <t>UNUSED CONTRIBUTIONS FROM GHOSTSQUAD TO 547G</t>
  </si>
  <si>
    <t>AzureServiceBus*</t>
  </si>
  <si>
    <t>COLIN</t>
  </si>
  <si>
    <t>SERVICE FULFILLMENT</t>
  </si>
  <si>
    <t>AzureOCRRecognition*</t>
  </si>
  <si>
    <t>SAMBIT</t>
  </si>
  <si>
    <t>BUSINESS OPS</t>
  </si>
  <si>
    <t>AzureBlobStorage*</t>
  </si>
  <si>
    <t>CAROLINA\JOHN\SAMBIT</t>
  </si>
  <si>
    <t>AzureAI-Certificates*</t>
  </si>
  <si>
    <t>COLIN\SAMBIT\KALEB</t>
  </si>
  <si>
    <t>* All Azure Services had an Endpoint Referrenced in C# Code, Plus Azure Cloud Resources which were fairly sophisticated</t>
  </si>
  <si>
    <t>* Ghost Squad Resources were spent mostly on Azure Cloud Resources by approximately 3 FTEs out of 5 including Auth and Service Development or 60. We had two FTES for 4 months on UI, and JSS worked way more than 40 hours a week.</t>
  </si>
  <si>
    <t>Date</t>
  </si>
  <si>
    <t>REQUIREDS1</t>
  </si>
  <si>
    <t>REQUIREDS2</t>
  </si>
  <si>
    <t>RUBRICEXTRA</t>
  </si>
  <si>
    <t>book5.html</t>
  </si>
  <si>
    <t>2025/11/06 - 17:43:05</t>
  </si>
  <si>
    <t>HTMLUI</t>
  </si>
  <si>
    <t>cart5.html</t>
  </si>
  <si>
    <t>2025/11/01 - 21:48:08</t>
  </si>
  <si>
    <t>cartcancel.html</t>
  </si>
  <si>
    <t>2025/10/25 - 04:53:01</t>
  </si>
  <si>
    <t>CARE</t>
  </si>
  <si>
    <t>cartdetail.html</t>
  </si>
  <si>
    <t>2025/11/01 - 23:23:19</t>
  </si>
  <si>
    <t>cartdetail2b.html</t>
  </si>
  <si>
    <t>2025/10/24 - 16:56:51</t>
  </si>
  <si>
    <t>cartreview.html</t>
  </si>
  <si>
    <t>2025/11/06 - 17:43:32</t>
  </si>
  <si>
    <t>employeemaint.html</t>
  </si>
  <si>
    <t>2025/11/06 - 15:26:18</t>
  </si>
  <si>
    <t>EC</t>
  </si>
  <si>
    <t>PARKMGR</t>
  </si>
  <si>
    <t>findpark.html</t>
  </si>
  <si>
    <t>2025/10/25 - 04:54:02</t>
  </si>
  <si>
    <t>mybookings5.html</t>
  </si>
  <si>
    <t>2025/11/02 - 00:46:47</t>
  </si>
  <si>
    <t>parkmaint.html</t>
  </si>
  <si>
    <t>2025/10/26 - 21:39:05</t>
  </si>
  <si>
    <t>parks5.html</t>
  </si>
  <si>
    <t>2025/10/26 - 20:28:47</t>
  </si>
  <si>
    <t>parksreview5.html</t>
  </si>
  <si>
    <t>2025/10/25 - 04:42:41</t>
  </si>
  <si>
    <t>parkvisualizations.html</t>
  </si>
  <si>
    <t>2025/10/28 - 16:49:21</t>
  </si>
  <si>
    <t>payments8.html</t>
  </si>
  <si>
    <t>2025/11/02 - 22:56:35</t>
  </si>
  <si>
    <t>paynow2.html</t>
  </si>
  <si>
    <t>2025/11/02 - 00:42:28</t>
  </si>
  <si>
    <t>picturewall.html</t>
  </si>
  <si>
    <t>2025/10/26 - 17:36:57</t>
  </si>
  <si>
    <t>securitycenter.html</t>
  </si>
  <si>
    <t>login.html</t>
  </si>
  <si>
    <t>2025/11/01 - 17:21:42</t>
  </si>
  <si>
    <t>adminhome.html</t>
  </si>
  <si>
    <t>2025/11/01 - 17:55:49</t>
  </si>
  <si>
    <t>help.html</t>
  </si>
  <si>
    <t>about.html</t>
  </si>
  <si>
    <t>PROJECT</t>
  </si>
  <si>
    <t>utilities.html</t>
  </si>
  <si>
    <t>loginstatus.html</t>
  </si>
  <si>
    <t>manager.html</t>
  </si>
  <si>
    <t>2025/10/25 - 04:42:59</t>
  </si>
  <si>
    <t>adminerror.html</t>
  </si>
  <si>
    <t>2025/11/01 - 01:26:52</t>
  </si>
  <si>
    <t>forgot.html</t>
  </si>
  <si>
    <t>PRANAVI</t>
  </si>
  <si>
    <t>userprofile</t>
  </si>
  <si>
    <t>CAROLINA/JOHN/SAMBIT</t>
  </si>
  <si>
    <t>register.html</t>
  </si>
  <si>
    <t>passwordreset.html</t>
  </si>
  <si>
    <t>index.html</t>
  </si>
  <si>
    <t>2025/11/06 - 15:20:43</t>
  </si>
  <si>
    <t>loginerror.html</t>
  </si>
  <si>
    <t>2025/10/31 - 17:01:28</t>
  </si>
  <si>
    <t>dropdown.css</t>
  </si>
  <si>
    <t>567JSS</t>
  </si>
  <si>
    <t>seeding data parks -sc</t>
  </si>
  <si>
    <t>ORIGINAL DATA</t>
  </si>
  <si>
    <t>seeding data parks -other states</t>
  </si>
  <si>
    <t>seeding data parks -us national</t>
  </si>
  <si>
    <t>seeding data parks -mexico</t>
  </si>
  <si>
    <t>seeding data parks -canada</t>
  </si>
  <si>
    <t>login.css</t>
  </si>
  <si>
    <t>PRANAVI/JSS</t>
  </si>
  <si>
    <t>SITE CSS TEMPLATE</t>
  </si>
  <si>
    <t>site visualizations - tableau public</t>
  </si>
  <si>
    <t>SF.COM/TABLEAU VIA ACQ</t>
  </si>
  <si>
    <t>VIZ</t>
  </si>
  <si>
    <t>bikes.js</t>
  </si>
  <si>
    <t>JAVASCRIPT-SSO</t>
  </si>
  <si>
    <t>jquery</t>
  </si>
  <si>
    <t>JQUERY-LIBRARY-OS</t>
  </si>
  <si>
    <t>AJAXCONTROLS</t>
  </si>
  <si>
    <t>bootstrap5</t>
  </si>
  <si>
    <t>BOOSTRAP-LIBRARY-OS</t>
  </si>
  <si>
    <t>STYLINGCSS</t>
  </si>
  <si>
    <t>NON-RUBIC FEATURES FOR UI</t>
  </si>
  <si>
    <t>Driving Directions</t>
  </si>
  <si>
    <t>Google Maps Views</t>
  </si>
  <si>
    <t>CartMaster Detail (User Sales View)</t>
  </si>
  <si>
    <t>Expanded Park Options (Camping, Skiing, Tents, Equipment)</t>
  </si>
  <si>
    <t>UNUSED CONTRIBUTIONS FROM GHOSTSQUAD 590 TO 547G</t>
  </si>
  <si>
    <t>Certcatalogue</t>
  </si>
  <si>
    <t>JOHN\SAMBIT</t>
  </si>
  <si>
    <t>Certifications</t>
  </si>
  <si>
    <t>Resume</t>
  </si>
  <si>
    <t>JOHN</t>
  </si>
  <si>
    <t>EmployeeMail</t>
  </si>
  <si>
    <t>allreviews.tsx</t>
  </si>
  <si>
    <t>REACT</t>
  </si>
  <si>
    <t>home2.tsx</t>
  </si>
  <si>
    <t>details2.tsx</t>
  </si>
  <si>
    <t>logout.tsx</t>
  </si>
  <si>
    <t>login.tsx</t>
  </si>
  <si>
    <t>register.tsx</t>
  </si>
  <si>
    <t>reservations.tsx</t>
  </si>
  <si>
    <t>securityadmin.tsx</t>
  </si>
  <si>
    <t>welcome.tsx</t>
  </si>
  <si>
    <t>bookingService.tsx</t>
  </si>
  <si>
    <t>MOD</t>
  </si>
  <si>
    <t>547G-T5/CG JOINT</t>
  </si>
  <si>
    <t>parkService.tsx</t>
  </si>
  <si>
    <t>cartService.tsx</t>
  </si>
  <si>
    <t>parkcard.tsx (Mod for Reviews)</t>
  </si>
  <si>
    <t>homebar.tsx(Rebuild)</t>
  </si>
  <si>
    <t>footer.tsx(Rebuild)</t>
  </si>
  <si>
    <t>payment.tsx(Rebuild)</t>
  </si>
  <si>
    <t>cartCard(Style)</t>
  </si>
  <si>
    <t>heroContent(Style)</t>
  </si>
  <si>
    <t>bookRide</t>
  </si>
  <si>
    <t xml:space="preserve"> </t>
  </si>
  <si>
    <t>LILY/KYLE</t>
  </si>
  <si>
    <t>CAPGEMENI</t>
  </si>
  <si>
    <t>cartDetails</t>
  </si>
  <si>
    <t>details.tsx</t>
  </si>
  <si>
    <t>featuredparks.tsx</t>
  </si>
  <si>
    <t>heroContent</t>
  </si>
  <si>
    <t>app.tsx</t>
  </si>
  <si>
    <t>search</t>
  </si>
  <si>
    <t>reviewCard</t>
  </si>
  <si>
    <t>parkcard.tsx (Core)</t>
  </si>
  <si>
    <t>Home</t>
  </si>
  <si>
    <t>ParkDetails</t>
  </si>
  <si>
    <t>Models-Cart</t>
  </si>
  <si>
    <t>Models-User</t>
  </si>
  <si>
    <t>Models-Review</t>
  </si>
  <si>
    <t>Models-Park</t>
  </si>
  <si>
    <t>TAB1.tsx</t>
  </si>
  <si>
    <t>TAB2.tsx</t>
  </si>
  <si>
    <t>TAB3.tsx</t>
  </si>
  <si>
    <t>TAB4.tsx</t>
  </si>
  <si>
    <t>TAB5.tsx</t>
  </si>
  <si>
    <t>TAB6.tsx</t>
  </si>
  <si>
    <t>TAB7.tsx</t>
  </si>
  <si>
    <t>TAB8.tsx</t>
  </si>
  <si>
    <t>menu.tsx</t>
  </si>
  <si>
    <t>footer.tsx</t>
  </si>
  <si>
    <t>usermanager</t>
  </si>
  <si>
    <t>employeemanager</t>
  </si>
  <si>
    <t>parksmanager</t>
  </si>
  <si>
    <t>securityreport.html by category</t>
  </si>
  <si>
    <t>portalmanager.html</t>
  </si>
  <si>
    <t>transactionreport.html</t>
  </si>
  <si>
    <t>bookingreport.html</t>
  </si>
  <si>
    <t>transactionadmin.html</t>
  </si>
  <si>
    <t>creditadmin.html</t>
  </si>
  <si>
    <t>ticketadmin.html</t>
  </si>
  <si>
    <t>bookingadmin</t>
  </si>
  <si>
    <t>salescatalogue</t>
  </si>
  <si>
    <t>taxadministrator</t>
  </si>
  <si>
    <t>salescatalogue report</t>
  </si>
  <si>
    <t>erp batches</t>
  </si>
  <si>
    <t>selector-bar - under construction</t>
  </si>
  <si>
    <t>homepage by state</t>
  </si>
  <si>
    <t>saveminmal</t>
  </si>
  <si>
    <t>saveextended</t>
  </si>
  <si>
    <t>profileupload</t>
  </si>
  <si>
    <t>profileaccounts</t>
  </si>
  <si>
    <t>changepassword</t>
  </si>
  <si>
    <t>EP Code By Contributor - Group</t>
  </si>
  <si>
    <t>USC GhostSquad</t>
  </si>
  <si>
    <t>547G-TEAM5 (NEW)</t>
  </si>
  <si>
    <t>GS/547G MIX</t>
  </si>
  <si>
    <t>TOTAL ENDPOINTS</t>
  </si>
  <si>
    <t>EP Code By Contributor - Author</t>
  </si>
  <si>
    <t>K.Baugh</t>
  </si>
  <si>
    <t>Ghost Team Other</t>
  </si>
  <si>
    <t>Code Aging</t>
  </si>
  <si>
    <t>New Code</t>
  </si>
  <si>
    <t>Upgraded Code</t>
  </si>
  <si>
    <t>Ghost Squad S2025</t>
  </si>
  <si>
    <t>Rubrick Required Endpoints vs Additional</t>
  </si>
  <si>
    <t>Description</t>
  </si>
  <si>
    <t>Eps</t>
  </si>
  <si>
    <t>Variance</t>
  </si>
  <si>
    <t>Required Totals</t>
  </si>
  <si>
    <t>Extra Credit</t>
  </si>
  <si>
    <t>Ghost Squad Unchanged</t>
  </si>
  <si>
    <t>Jss New</t>
  </si>
  <si>
    <t>Jss Upgraded</t>
  </si>
  <si>
    <t>Jss New and Upgraded</t>
  </si>
  <si>
    <t>Full Team5 EPS w  GS</t>
  </si>
  <si>
    <t xml:space="preserve"> Reused Code</t>
  </si>
  <si>
    <t>HTML FILES BY GROUP</t>
  </si>
  <si>
    <t>THIS HASNT BEEN UPDATED YET</t>
  </si>
  <si>
    <t>TOTAL HTML FILES</t>
  </si>
  <si>
    <t>HTML FILES BY AUTHOR</t>
  </si>
  <si>
    <t>Pranavi</t>
  </si>
  <si>
    <t>Carolina</t>
  </si>
  <si>
    <t>Ghost Team Other Or Mix</t>
  </si>
  <si>
    <t>TOTAL FILES IN SCOPE MAJOR</t>
  </si>
  <si>
    <t>Rubrick Required UI vs Additional</t>
  </si>
  <si>
    <t>HTML FIles</t>
  </si>
  <si>
    <t>%</t>
  </si>
  <si>
    <t>Full Team5 HTML w  GS</t>
  </si>
  <si>
    <t>2025/10/25 - 04:57:05</t>
  </si>
  <si>
    <t>2025/10/24 - 17:17:58</t>
  </si>
  <si>
    <t>images/applications.html</t>
  </si>
  <si>
    <t>2025/10/24 - 17:18:03</t>
  </si>
  <si>
    <t>images/changes.html</t>
  </si>
  <si>
    <t>2025/10/24 - 17:17:56</t>
  </si>
  <si>
    <t>images/inventory.html</t>
  </si>
  <si>
    <t>images/itsm.html</t>
  </si>
  <si>
    <t>images/provisioning.html</t>
  </si>
  <si>
    <t>2025/10/24 - 17:18:50</t>
  </si>
  <si>
    <t>imagetest/selectorbar.html</t>
  </si>
  <si>
    <t>/api/Adminlogs</t>
  </si>
  <si>
    <t>POST</t>
  </si>
  <si>
    <t>/api/Adminlogs/{id}</t>
  </si>
  <si>
    <t>PUT</t>
  </si>
  <si>
    <t>DELETE</t>
  </si>
  <si>
    <t>/api/Apilog</t>
  </si>
  <si>
    <t>/api/Apilog/{id}</t>
  </si>
  <si>
    <t>/api/Batch</t>
  </si>
  <si>
    <t>/api/Batch/{id}</t>
  </si>
  <si>
    <t>/api/Batchtype</t>
  </si>
  <si>
    <t>/api/Batchtype/{id}</t>
  </si>
  <si>
    <t>/api/Booking</t>
  </si>
  <si>
    <t>/api/Booking/park/{parkId}</t>
  </si>
  <si>
    <t>/api/Booking/{id}</t>
  </si>
  <si>
    <t>/api/Card</t>
  </si>
  <si>
    <t>/api/Card/{id}</t>
  </si>
  <si>
    <t>/api/Card/user/{Uid}</t>
  </si>
  <si>
    <t>/api/Cart</t>
  </si>
  <si>
    <t>/api/Cart/{id}</t>
  </si>
  <si>
    <t>/api/Cart/user/{uid}</t>
  </si>
  <si>
    <t>/api/Cart/mark/{cartId}</t>
  </si>
  <si>
    <t>/api/Cart/newparent</t>
  </si>
  <si>
    <t>/api/Cartitem</t>
  </si>
  <si>
    <t>/api/Cartitem/{id}</t>
  </si>
  <si>
    <t>/api/Cartitem/cart/{cartid}</t>
  </si>
  <si>
    <t>/api/CartMaster</t>
  </si>
  <si>
    <t>/api/CartMaster/{id}</t>
  </si>
  <si>
    <t>/api/Company</t>
  </si>
  <si>
    <t>/api/Company/{id}</t>
  </si>
  <si>
    <t>/api/Customer</t>
  </si>
  <si>
    <t>/api/Customer/{id}</t>
  </si>
  <si>
    <t>dirtbike.api</t>
  </si>
  <si>
    <t>/api/notify</t>
  </si>
  <si>
    <t>/api/Employee</t>
  </si>
  <si>
    <t>/api/Employee/{id}</t>
  </si>
  <si>
    <t>/api/Employee/userid/{Userid}</t>
  </si>
  <si>
    <t>/api/File/upload</t>
  </si>
  <si>
    <t>/FileOps</t>
  </si>
  <si>
    <t>/api/Learndetail</t>
  </si>
  <si>
    <t>/api/Learndetail/userid/{userid}</t>
  </si>
  <si>
    <t>/api/Learndetail/id/{id}</t>
  </si>
  <si>
    <t>/api/Learndetail/{id}</t>
  </si>
  <si>
    <t>/api/Noctech</t>
  </si>
  <si>
    <t>/api/Noctech/{id}</t>
  </si>
  <si>
    <t>/api/Parks</t>
  </si>
  <si>
    <t>/api/Parks/{id}</t>
  </si>
  <si>
    <t>/api/Parks/guests/{Limit}</t>
  </si>
  <si>
    <t>/api/Parks/guests/{Removesomeguests}</t>
  </si>
  <si>
    <t>/api/ParkReview</t>
  </si>
  <si>
    <t>/api/ParkReview/{id}</t>
  </si>
  <si>
    <t>/api/ParkReview/user/{Useridasstring}</t>
  </si>
  <si>
    <t>/api/Payments</t>
  </si>
  <si>
    <t>/api/Payments/{id}</t>
  </si>
  <si>
    <t>/api/Payments/user/{Userid}</t>
  </si>
  <si>
    <t>/Profile/uploadWithId</t>
  </si>
  <si>
    <t>/api/SalesCatalogue</t>
  </si>
  <si>
    <t>/api/SalesCatalogue/{id}</t>
  </si>
  <si>
    <t>/api/SalesCatalogue/park/{ParkId}</t>
  </si>
  <si>
    <t>/api/Sessionlog</t>
  </si>
  <si>
    <t>/api/Sessionlog/{id}</t>
  </si>
  <si>
    <t>/api/Site</t>
  </si>
  <si>
    <t>/api/Site/{id}</t>
  </si>
  <si>
    <t>/api/Superuserlog</t>
  </si>
  <si>
    <t>/api/Superuserlog/{id}</t>
  </si>
  <si>
    <t>/api/User</t>
  </si>
  <si>
    <t>/api/User/{id}</t>
  </si>
  <si>
    <t>/api/User/userid/{Uidstring}</t>
  </si>
  <si>
    <t>/api/User/password/{userid}</t>
  </si>
  <si>
    <t>/api/Useraction</t>
  </si>
  <si>
    <t>/api/Useraction/{id}</t>
  </si>
  <si>
    <t>/api/Usergroups</t>
  </si>
  <si>
    <t>/api/Usergroups/{id}</t>
  </si>
  <si>
    <t>/api/Userhelp</t>
  </si>
  <si>
    <t>/api/Userhelp/{id}</t>
  </si>
  <si>
    <t>/api/Userhelp/userid/{id}</t>
  </si>
  <si>
    <t>/api/Userlog</t>
  </si>
  <si>
    <t>/api/Userlog/{id}</t>
  </si>
  <si>
    <t>/api/Userlog/user/{Username}</t>
  </si>
  <si>
    <t>/api/Userprofile</t>
  </si>
  <si>
    <t>/api/Userprofile/{id}</t>
  </si>
  <si>
    <t>/api/Userprofile/user/{Useridastring}</t>
  </si>
  <si>
    <t>/api/Userprofile/picture/{id}</t>
  </si>
  <si>
    <t>/api/Usersession</t>
  </si>
  <si>
    <t>/api/Usersession/{id}</t>
  </si>
  <si>
    <t>/api/Usersession/user/{Useridasstring}</t>
  </si>
  <si>
    <t>/WeatherForecast</t>
  </si>
  <si>
    <t>After S1 the CGUI was produced and it dramatically impacted the design. It allowed for a more compact backoffice.</t>
  </si>
  <si>
    <t>This means that most of the S1 work for a Meets Target was extraneous.</t>
  </si>
  <si>
    <t>I believe however my toolset is significantly in aggregate better than the requirement.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</si>
</sst>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rgb="FF3B4151"/>
      <name val="Arial"/>
      <family val="2"/>
    </font>
    <font>
      <b/>
      <sz val="11"/>
      <color rgb="FFFFFFFF"/>
      <name val="Arial"/>
      <family val="2"/>
    </font>
    <font>
      <sz val="12"/>
      <color rgb="FF3B4151"/>
      <name val="Courier New"/>
      <family val="3"/>
    </font>
    <font>
      <sz val="8"/>
      <color theme="1"/>
      <name val="Aptos Narrow"/>
      <family val="2"/>
      <scheme val="minor"/>
    </font>
    <font>
      <b/>
      <sz val="8"/>
      <color rgb="FF3B4151"/>
      <name val="Arial"/>
      <family val="2"/>
    </font>
    <font>
      <b/>
      <sz val="8"/>
      <color theme="1"/>
      <name val="Aptos Narrow"/>
      <family val="2"/>
      <scheme val="minor"/>
    </font>
    <font>
      <sz val="8"/>
      <color rgb="FF000000"/>
      <name val="Arial"/>
      <family val="2"/>
    </font>
    <font>
      <b/>
      <u/>
      <sz val="8"/>
      <color rgb="FF233566"/>
      <name val="Arial"/>
      <family val="2"/>
    </font>
    <font>
      <b/>
      <sz val="8"/>
      <color rgb="FF000000"/>
      <name val="Arial"/>
      <family val="2"/>
    </font>
    <font>
      <b/>
      <sz val="8"/>
      <color rgb="FF3366CC"/>
      <name val="Arial"/>
      <family val="2"/>
    </font>
    <font>
      <sz val="8"/>
      <color theme="0"/>
      <name val="Aptos Narrow"/>
      <family val="2"/>
      <scheme val="minor"/>
    </font>
    <font>
      <b/>
      <sz val="8"/>
      <color rgb="FFFFFFFF"/>
      <name val="Arial"/>
      <family val="2"/>
    </font>
    <font>
      <b/>
      <sz val="8"/>
      <color theme="0"/>
      <name val="Arial"/>
      <family val="2"/>
    </font>
    <font>
      <b/>
      <sz val="8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10101"/>
      <name val="RobotoLocal"/>
    </font>
    <font>
      <sz val="12"/>
      <color theme="1"/>
      <name val="Aptos"/>
      <family val="2"/>
    </font>
    <font>
      <sz val="12"/>
      <color theme="0"/>
      <name val="Aptos"/>
      <family val="2"/>
    </font>
    <font>
      <b/>
      <sz val="8"/>
      <name val="Aptos Narrow"/>
      <family val="2"/>
      <scheme val="minor"/>
    </font>
    <font>
      <sz val="12"/>
      <color rgb="FF000000"/>
      <name val="Aptos"/>
      <family val="2"/>
    </font>
    <font>
      <sz val="11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8"/>
      <color rgb="FF000000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EBF2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E4E4E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5" fillId="0" borderId="0" xfId="0" applyFont="1"/>
    <xf numFmtId="0" fontId="8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left"/>
    </xf>
    <xf numFmtId="0" fontId="7" fillId="3" borderId="1" xfId="0" applyFont="1" applyFill="1" applyBorder="1"/>
    <xf numFmtId="0" fontId="7" fillId="3" borderId="2" xfId="0" applyFont="1" applyFill="1" applyBorder="1"/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/>
    <xf numFmtId="0" fontId="5" fillId="0" borderId="2" xfId="0" applyFont="1" applyBorder="1"/>
    <xf numFmtId="0" fontId="7" fillId="0" borderId="1" xfId="0" applyFont="1" applyBorder="1"/>
    <xf numFmtId="0" fontId="6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/>
    <xf numFmtId="0" fontId="5" fillId="6" borderId="2" xfId="0" applyFont="1" applyFill="1" applyBorder="1"/>
    <xf numFmtId="0" fontId="6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/>
    <xf numFmtId="0" fontId="5" fillId="7" borderId="2" xfId="0" applyFont="1" applyFill="1" applyBorder="1"/>
    <xf numFmtId="0" fontId="7" fillId="7" borderId="1" xfId="0" applyFont="1" applyFill="1" applyBorder="1"/>
    <xf numFmtId="0" fontId="13" fillId="0" borderId="0" xfId="0" applyFont="1" applyAlignment="1">
      <alignment horizontal="left" vertical="center" wrapText="1"/>
    </xf>
    <xf numFmtId="0" fontId="7" fillId="0" borderId="0" xfId="0" applyFont="1"/>
    <xf numFmtId="0" fontId="5" fillId="0" borderId="0" xfId="0" applyFont="1" applyAlignment="1">
      <alignment horizontal="left"/>
    </xf>
    <xf numFmtId="9" fontId="5" fillId="0" borderId="0" xfId="1" applyFont="1"/>
    <xf numFmtId="0" fontId="6" fillId="2" borderId="7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vertical="center"/>
    </xf>
    <xf numFmtId="0" fontId="6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/>
    <xf numFmtId="0" fontId="5" fillId="8" borderId="2" xfId="0" applyFont="1" applyFill="1" applyBorder="1"/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/>
    <xf numFmtId="0" fontId="7" fillId="9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/>
    <xf numFmtId="0" fontId="5" fillId="10" borderId="2" xfId="0" applyFont="1" applyFill="1" applyBorder="1"/>
    <xf numFmtId="0" fontId="7" fillId="10" borderId="1" xfId="0" applyFont="1" applyFill="1" applyBorder="1"/>
    <xf numFmtId="0" fontId="14" fillId="11" borderId="1" xfId="0" applyFont="1" applyFill="1" applyBorder="1" applyAlignment="1">
      <alignment horizontal="left"/>
    </xf>
    <xf numFmtId="0" fontId="15" fillId="11" borderId="1" xfId="0" applyFont="1" applyFill="1" applyBorder="1"/>
    <xf numFmtId="0" fontId="15" fillId="11" borderId="2" xfId="0" applyFont="1" applyFill="1" applyBorder="1"/>
    <xf numFmtId="0" fontId="14" fillId="11" borderId="1" xfId="0" applyFont="1" applyFill="1" applyBorder="1" applyAlignment="1">
      <alignment horizontal="left" vertical="center" wrapText="1"/>
    </xf>
    <xf numFmtId="0" fontId="12" fillId="11" borderId="1" xfId="0" applyFont="1" applyFill="1" applyBorder="1"/>
    <xf numFmtId="9" fontId="0" fillId="0" borderId="1" xfId="1" applyFont="1" applyBorder="1"/>
    <xf numFmtId="0" fontId="12" fillId="13" borderId="1" xfId="0" applyFont="1" applyFill="1" applyBorder="1"/>
    <xf numFmtId="0" fontId="12" fillId="13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/>
    </xf>
    <xf numFmtId="9" fontId="0" fillId="0" borderId="0" xfId="1" applyFont="1" applyBorder="1"/>
    <xf numFmtId="0" fontId="7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17" fillId="15" borderId="8" xfId="0" applyFont="1" applyFill="1" applyBorder="1" applyAlignment="1">
      <alignment horizontal="left" vertical="center" indent="1"/>
    </xf>
    <xf numFmtId="0" fontId="17" fillId="14" borderId="8" xfId="0" applyFont="1" applyFill="1" applyBorder="1" applyAlignment="1">
      <alignment horizontal="left" vertical="center" indent="1"/>
    </xf>
    <xf numFmtId="0" fontId="17" fillId="16" borderId="8" xfId="0" applyFont="1" applyFill="1" applyBorder="1" applyAlignment="1">
      <alignment horizontal="left" vertical="center" indent="1"/>
    </xf>
    <xf numFmtId="0" fontId="18" fillId="0" borderId="0" xfId="0" applyFont="1" applyAlignment="1">
      <alignment vertical="center"/>
    </xf>
    <xf numFmtId="0" fontId="5" fillId="18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left"/>
    </xf>
    <xf numFmtId="0" fontId="5" fillId="18" borderId="1" xfId="0" applyFont="1" applyFill="1" applyBorder="1"/>
    <xf numFmtId="0" fontId="0" fillId="18" borderId="1" xfId="0" applyFill="1" applyBorder="1"/>
    <xf numFmtId="0" fontId="7" fillId="18" borderId="1" xfId="0" applyFont="1" applyFill="1" applyBorder="1"/>
    <xf numFmtId="0" fontId="7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0" fontId="16" fillId="11" borderId="1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left" vertical="center"/>
    </xf>
    <xf numFmtId="0" fontId="18" fillId="17" borderId="1" xfId="0" applyFont="1" applyFill="1" applyBorder="1" applyAlignment="1">
      <alignment horizontal="left" vertical="center"/>
    </xf>
    <xf numFmtId="0" fontId="19" fillId="11" borderId="1" xfId="0" applyFont="1" applyFill="1" applyBorder="1" applyAlignment="1">
      <alignment horizontal="left" vertical="center"/>
    </xf>
    <xf numFmtId="0" fontId="5" fillId="18" borderId="1" xfId="0" applyFont="1" applyFill="1" applyBorder="1" applyAlignment="1">
      <alignment horizontal="center"/>
    </xf>
    <xf numFmtId="0" fontId="6" fillId="7" borderId="7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vertical="center"/>
    </xf>
    <xf numFmtId="0" fontId="7" fillId="7" borderId="10" xfId="0" applyFont="1" applyFill="1" applyBorder="1"/>
    <xf numFmtId="0" fontId="7" fillId="7" borderId="10" xfId="0" applyFont="1" applyFill="1" applyBorder="1" applyAlignment="1">
      <alignment vertical="center"/>
    </xf>
    <xf numFmtId="0" fontId="7" fillId="7" borderId="4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/>
    </xf>
    <xf numFmtId="0" fontId="7" fillId="7" borderId="7" xfId="0" applyFont="1" applyFill="1" applyBorder="1" applyAlignment="1">
      <alignment horizontal="center" vertical="center"/>
    </xf>
    <xf numFmtId="0" fontId="7" fillId="7" borderId="11" xfId="0" applyFont="1" applyFill="1" applyBorder="1"/>
    <xf numFmtId="0" fontId="7" fillId="7" borderId="11" xfId="0" applyFont="1" applyFill="1" applyBorder="1" applyAlignment="1">
      <alignment vertical="center"/>
    </xf>
    <xf numFmtId="0" fontId="5" fillId="7" borderId="10" xfId="0" applyFont="1" applyFill="1" applyBorder="1"/>
    <xf numFmtId="0" fontId="5" fillId="7" borderId="12" xfId="0" applyFont="1" applyFill="1" applyBorder="1"/>
    <xf numFmtId="0" fontId="5" fillId="0" borderId="9" xfId="0" applyFont="1" applyBorder="1" applyAlignment="1">
      <alignment horizontal="center" vertical="center"/>
    </xf>
    <xf numFmtId="0" fontId="6" fillId="7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vertical="center"/>
    </xf>
    <xf numFmtId="0" fontId="5" fillId="7" borderId="0" xfId="0" applyFont="1" applyFill="1"/>
    <xf numFmtId="0" fontId="7" fillId="7" borderId="0" xfId="0" applyFont="1" applyFill="1"/>
    <xf numFmtId="0" fontId="7" fillId="7" borderId="0" xfId="0" applyFont="1" applyFill="1" applyAlignment="1">
      <alignment horizontal="left" vertical="center" wrapText="1"/>
    </xf>
    <xf numFmtId="0" fontId="7" fillId="7" borderId="10" xfId="0" applyFon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0" borderId="10" xfId="0" applyBorder="1"/>
    <xf numFmtId="9" fontId="0" fillId="0" borderId="10" xfId="1" applyFont="1" applyBorder="1"/>
    <xf numFmtId="0" fontId="0" fillId="19" borderId="10" xfId="0" applyFill="1" applyBorder="1"/>
    <xf numFmtId="9" fontId="0" fillId="19" borderId="10" xfId="1" applyFont="1" applyFill="1" applyBorder="1"/>
    <xf numFmtId="0" fontId="0" fillId="0" borderId="10" xfId="0" applyBorder="1" applyAlignment="1">
      <alignment horizontal="center"/>
    </xf>
    <xf numFmtId="0" fontId="19" fillId="13" borderId="1" xfId="0" applyFont="1" applyFill="1" applyBorder="1" applyAlignment="1">
      <alignment horizontal="left" vertical="center"/>
    </xf>
    <xf numFmtId="0" fontId="16" fillId="13" borderId="1" xfId="0" applyFont="1" applyFill="1" applyBorder="1" applyAlignment="1">
      <alignment horizontal="center"/>
    </xf>
    <xf numFmtId="0" fontId="12" fillId="1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16" fillId="13" borderId="1" xfId="0" applyNumberFormat="1" applyFont="1" applyFill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14" fontId="0" fillId="17" borderId="1" xfId="0" applyNumberFormat="1" applyFill="1" applyBorder="1" applyAlignment="1">
      <alignment horizontal="center"/>
    </xf>
    <xf numFmtId="0" fontId="20" fillId="17" borderId="1" xfId="0" applyFont="1" applyFill="1" applyBorder="1" applyAlignment="1">
      <alignment horizontal="center"/>
    </xf>
    <xf numFmtId="0" fontId="21" fillId="6" borderId="1" xfId="0" applyFont="1" applyFill="1" applyBorder="1" applyAlignment="1">
      <alignment horizontal="left" vertical="center"/>
    </xf>
    <xf numFmtId="14" fontId="22" fillId="6" borderId="1" xfId="0" applyNumberFormat="1" applyFont="1" applyFill="1" applyBorder="1" applyAlignment="1">
      <alignment horizontal="center"/>
    </xf>
    <xf numFmtId="0" fontId="23" fillId="6" borderId="1" xfId="0" applyFont="1" applyFill="1" applyBorder="1" applyAlignment="1">
      <alignment horizontal="center"/>
    </xf>
    <xf numFmtId="0" fontId="22" fillId="6" borderId="1" xfId="0" applyFont="1" applyFill="1" applyBorder="1" applyAlignment="1">
      <alignment horizontal="center"/>
    </xf>
    <xf numFmtId="0" fontId="24" fillId="6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20" borderId="10" xfId="0" applyFill="1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0" borderId="13" xfId="0" applyFill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2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13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21" borderId="10" xfId="0" applyFill="1" applyBorder="1"/>
    <xf numFmtId="0" fontId="0" fillId="21" borderId="10" xfId="0" applyFill="1" applyBorder="1" applyAlignment="1">
      <alignment horizontal="center"/>
    </xf>
    <xf numFmtId="0" fontId="0" fillId="20" borderId="0" xfId="0" applyFill="1" applyAlignment="1">
      <alignment horizontal="center"/>
    </xf>
    <xf numFmtId="0" fontId="12" fillId="5" borderId="2" xfId="0" applyFont="1" applyFill="1" applyBorder="1" applyAlignment="1">
      <alignment horizontal="center"/>
    </xf>
    <xf numFmtId="0" fontId="12" fillId="5" borderId="5" xfId="0" applyFont="1" applyFill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0" fontId="0" fillId="1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19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2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Backoffice EP's By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15319444444444447"/>
          <c:w val="0.93888888888888888"/>
          <c:h val="0.671457786526684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A61-4562-A639-D9D4C91A24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A61-4562-A639-D9D4C91A24E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A61-4562-A639-D9D4C91A24E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A61-4562-A639-D9D4C91A24E6}"/>
              </c:ext>
            </c:extLst>
          </c:dPt>
          <c:cat>
            <c:strRef>
              <c:f>BackOfficeBreakout!$C$16:$C$19</c:f>
              <c:strCache>
                <c:ptCount val="4"/>
                <c:pt idx="0">
                  <c:v>Code Aging</c:v>
                </c:pt>
                <c:pt idx="1">
                  <c:v>New Code</c:v>
                </c:pt>
                <c:pt idx="2">
                  <c:v>Upgraded Code</c:v>
                </c:pt>
                <c:pt idx="3">
                  <c:v>Ghost Squad S2025</c:v>
                </c:pt>
              </c:strCache>
            </c:strRef>
          </c:cat>
          <c:val>
            <c:numRef>
              <c:f>BackOfficeBreakout!$D$16:$D$19</c:f>
              <c:numCache>
                <c:formatCode>General</c:formatCode>
                <c:ptCount val="4"/>
                <c:pt idx="1">
                  <c:v>14</c:v>
                </c:pt>
                <c:pt idx="2">
                  <c:v>8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30-4457-B6C6-A689B56C2408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A61-4562-A639-D9D4C91A24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A61-4562-A639-D9D4C91A24E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A61-4562-A639-D9D4C91A24E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A61-4562-A639-D9D4C91A24E6}"/>
              </c:ext>
            </c:extLst>
          </c:dPt>
          <c:cat>
            <c:strRef>
              <c:f>BackOfficeBreakout!$C$16:$C$19</c:f>
              <c:strCache>
                <c:ptCount val="4"/>
                <c:pt idx="0">
                  <c:v>Code Aging</c:v>
                </c:pt>
                <c:pt idx="1">
                  <c:v>New Code</c:v>
                </c:pt>
                <c:pt idx="2">
                  <c:v>Upgraded Code</c:v>
                </c:pt>
                <c:pt idx="3">
                  <c:v>Ghost Squad S2025</c:v>
                </c:pt>
              </c:strCache>
            </c:strRef>
          </c:cat>
          <c:val>
            <c:numRef>
              <c:f>BackOfficeBreakout!$E$16:$E$19</c:f>
              <c:numCache>
                <c:formatCode>0%</c:formatCode>
                <c:ptCount val="4"/>
                <c:pt idx="1">
                  <c:v>0.42424242424242425</c:v>
                </c:pt>
                <c:pt idx="2">
                  <c:v>0.24242424242424243</c:v>
                </c:pt>
                <c:pt idx="3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30-4457-B6C6-A689B56C2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Backoffice</a:t>
            </a:r>
            <a:r>
              <a:rPr lang="en-US" baseline="0"/>
              <a:t> EP's By Author</a:t>
            </a:r>
            <a:endParaRPr lang="en-US"/>
          </a:p>
        </c:rich>
      </c:tx>
      <c:layout>
        <c:manualLayout>
          <c:xMode val="edge"/>
          <c:yMode val="edge"/>
          <c:x val="0.2882637795275589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126-4B17-A63F-29AC2E411D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126-4B17-A63F-29AC2E411D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126-4B17-A63F-29AC2E411D6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126-4B17-A63F-29AC2E411D6B}"/>
              </c:ext>
            </c:extLst>
          </c:dPt>
          <c:cat>
            <c:strRef>
              <c:f>BackOfficeBreakout!$C$9:$C$12</c:f>
              <c:strCache>
                <c:ptCount val="4"/>
                <c:pt idx="0">
                  <c:v>EP Code By Contributor - Author</c:v>
                </c:pt>
                <c:pt idx="1">
                  <c:v>JSS</c:v>
                </c:pt>
                <c:pt idx="2">
                  <c:v>K.Baugh</c:v>
                </c:pt>
                <c:pt idx="3">
                  <c:v>Ghost Team Other</c:v>
                </c:pt>
              </c:strCache>
            </c:strRef>
          </c:cat>
          <c:val>
            <c:numRef>
              <c:f>BackOfficeBreakout!$D$9:$D$12</c:f>
              <c:numCache>
                <c:formatCode>General</c:formatCode>
                <c:ptCount val="4"/>
                <c:pt idx="1">
                  <c:v>32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B-4A71-AB82-9A26C8559DE0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126-4B17-A63F-29AC2E411D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126-4B17-A63F-29AC2E411D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126-4B17-A63F-29AC2E411D6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126-4B17-A63F-29AC2E411D6B}"/>
              </c:ext>
            </c:extLst>
          </c:dPt>
          <c:cat>
            <c:strRef>
              <c:f>BackOfficeBreakout!$C$9:$C$12</c:f>
              <c:strCache>
                <c:ptCount val="4"/>
                <c:pt idx="0">
                  <c:v>EP Code By Contributor - Author</c:v>
                </c:pt>
                <c:pt idx="1">
                  <c:v>JSS</c:v>
                </c:pt>
                <c:pt idx="2">
                  <c:v>K.Baugh</c:v>
                </c:pt>
                <c:pt idx="3">
                  <c:v>Ghost Team Other</c:v>
                </c:pt>
              </c:strCache>
            </c:strRef>
          </c:cat>
          <c:val>
            <c:numRef>
              <c:f>BackOfficeBreakout!$E$9:$E$12</c:f>
              <c:numCache>
                <c:formatCode>0%</c:formatCode>
                <c:ptCount val="4"/>
                <c:pt idx="1">
                  <c:v>0.96969696969696972</c:v>
                </c:pt>
                <c:pt idx="2">
                  <c:v>3.0303030303030304E-2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BB-4A71-AB82-9A26C8559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Code Aging New, Upgrade, 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AF5-4A60-84B3-772AC9F8FC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AF5-4A60-84B3-772AC9F8FC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AF5-4A60-84B3-772AC9F8FC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AF5-4A60-84B3-772AC9F8FC36}"/>
              </c:ext>
            </c:extLst>
          </c:dPt>
          <c:cat>
            <c:strRef>
              <c:f>BackOfficeBreakout!$C$2:$C$5</c:f>
              <c:strCache>
                <c:ptCount val="4"/>
                <c:pt idx="0">
                  <c:v>EP Code By Contributor - Group</c:v>
                </c:pt>
                <c:pt idx="1">
                  <c:v>USC GhostSquad</c:v>
                </c:pt>
                <c:pt idx="2">
                  <c:v>547G-TEAM5 (NEW)</c:v>
                </c:pt>
                <c:pt idx="3">
                  <c:v>GS/547G MIX</c:v>
                </c:pt>
              </c:strCache>
            </c:strRef>
          </c:cat>
          <c:val>
            <c:numRef>
              <c:f>BackOfficeBreakout!$D$2:$D$5</c:f>
              <c:numCache>
                <c:formatCode>General</c:formatCode>
                <c:ptCount val="4"/>
                <c:pt idx="1">
                  <c:v>11</c:v>
                </c:pt>
                <c:pt idx="2">
                  <c:v>14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35-46D7-8B33-058EBF396507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AF5-4A60-84B3-772AC9F8FC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AF5-4A60-84B3-772AC9F8FC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AF5-4A60-84B3-772AC9F8FC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AF5-4A60-84B3-772AC9F8FC36}"/>
              </c:ext>
            </c:extLst>
          </c:dPt>
          <c:cat>
            <c:strRef>
              <c:f>BackOfficeBreakout!$C$2:$C$5</c:f>
              <c:strCache>
                <c:ptCount val="4"/>
                <c:pt idx="0">
                  <c:v>EP Code By Contributor - Group</c:v>
                </c:pt>
                <c:pt idx="1">
                  <c:v>USC GhostSquad</c:v>
                </c:pt>
                <c:pt idx="2">
                  <c:v>547G-TEAM5 (NEW)</c:v>
                </c:pt>
                <c:pt idx="3">
                  <c:v>GS/547G MIX</c:v>
                </c:pt>
              </c:strCache>
            </c:strRef>
          </c:cat>
          <c:val>
            <c:numRef>
              <c:f>BackOfficeBreakout!$E$2:$E$5</c:f>
              <c:numCache>
                <c:formatCode>0%</c:formatCode>
                <c:ptCount val="4"/>
                <c:pt idx="1">
                  <c:v>0.33333333333333331</c:v>
                </c:pt>
                <c:pt idx="2">
                  <c:v>0.42424242424242425</c:v>
                </c:pt>
                <c:pt idx="3">
                  <c:v>0.24242424242424243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35-46D7-8B33-058EBF396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Requirements Vs Actual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BackOfficeBreakout!$C$25:$C$33</c:f>
              <c:strCache>
                <c:ptCount val="9"/>
                <c:pt idx="0">
                  <c:v>Required Totals</c:v>
                </c:pt>
                <c:pt idx="1">
                  <c:v>Extra Credit</c:v>
                </c:pt>
                <c:pt idx="2">
                  <c:v>Ghost Squad Unchanged</c:v>
                </c:pt>
                <c:pt idx="3">
                  <c:v>Jss New</c:v>
                </c:pt>
                <c:pt idx="4">
                  <c:v>Jss Upgraded</c:v>
                </c:pt>
                <c:pt idx="5">
                  <c:v>Jss New and Upgraded</c:v>
                </c:pt>
                <c:pt idx="6">
                  <c:v>Full Team5 EPS w  GS</c:v>
                </c:pt>
                <c:pt idx="7">
                  <c:v> Reused Code</c:v>
                </c:pt>
                <c:pt idx="8">
                  <c:v>TOTAL ENDPOINTS</c:v>
                </c:pt>
              </c:strCache>
            </c:strRef>
          </c:cat>
          <c:val>
            <c:numRef>
              <c:f>BackOfficeBreakout!$D$25:$D$33</c:f>
              <c:numCache>
                <c:formatCode>General</c:formatCode>
                <c:ptCount val="9"/>
                <c:pt idx="0">
                  <c:v>8</c:v>
                </c:pt>
                <c:pt idx="1">
                  <c:v>3</c:v>
                </c:pt>
                <c:pt idx="2">
                  <c:v>11</c:v>
                </c:pt>
                <c:pt idx="3">
                  <c:v>14</c:v>
                </c:pt>
                <c:pt idx="4">
                  <c:v>8</c:v>
                </c:pt>
                <c:pt idx="5">
                  <c:v>22</c:v>
                </c:pt>
                <c:pt idx="6">
                  <c:v>33</c:v>
                </c:pt>
                <c:pt idx="7">
                  <c:v>19</c:v>
                </c:pt>
                <c:pt idx="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64-4D47-A02A-BFC588E8C37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BackOfficeBreakout!$C$25:$C$33</c:f>
              <c:strCache>
                <c:ptCount val="9"/>
                <c:pt idx="0">
                  <c:v>Required Totals</c:v>
                </c:pt>
                <c:pt idx="1">
                  <c:v>Extra Credit</c:v>
                </c:pt>
                <c:pt idx="2">
                  <c:v>Ghost Squad Unchanged</c:v>
                </c:pt>
                <c:pt idx="3">
                  <c:v>Jss New</c:v>
                </c:pt>
                <c:pt idx="4">
                  <c:v>Jss Upgraded</c:v>
                </c:pt>
                <c:pt idx="5">
                  <c:v>Jss New and Upgraded</c:v>
                </c:pt>
                <c:pt idx="6">
                  <c:v>Full Team5 EPS w  GS</c:v>
                </c:pt>
                <c:pt idx="7">
                  <c:v> Reused Code</c:v>
                </c:pt>
                <c:pt idx="8">
                  <c:v>TOTAL ENDPOINTS</c:v>
                </c:pt>
              </c:strCache>
            </c:strRef>
          </c:cat>
          <c:val>
            <c:numRef>
              <c:f>BackOfficeBreakout!$E$25:$E$33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1-DC64-4D47-A02A-BFC588E8C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4499087"/>
        <c:axId val="1744500527"/>
      </c:barChart>
      <c:catAx>
        <c:axId val="1744499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500527"/>
        <c:crosses val="autoZero"/>
        <c:auto val="1"/>
        <c:lblAlgn val="ctr"/>
        <c:lblOffset val="100"/>
        <c:noMultiLvlLbl val="0"/>
      </c:catAx>
      <c:valAx>
        <c:axId val="174450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49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UI Code By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C5-448F-B01D-9EC93519F509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C5-448F-B01D-9EC93519F509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8C5-448F-B01D-9EC93519F509}"/>
              </c:ext>
            </c:extLst>
          </c:dPt>
          <c:cat>
            <c:strRef>
              <c:f>FrontOfficeBreakout!$C$3:$C$5</c:f>
              <c:strCache>
                <c:ptCount val="3"/>
                <c:pt idx="0">
                  <c:v>USC GhostSquad</c:v>
                </c:pt>
                <c:pt idx="1">
                  <c:v>547G-TEAM5 (NEW)</c:v>
                </c:pt>
                <c:pt idx="2">
                  <c:v>GS/547G MIX</c:v>
                </c:pt>
              </c:strCache>
            </c:strRef>
          </c:cat>
          <c:val>
            <c:numRef>
              <c:f>FrontOfficeBreakout!$D$3:$D$5</c:f>
              <c:numCache>
                <c:formatCode>General</c:formatCode>
                <c:ptCount val="3"/>
                <c:pt idx="0">
                  <c:v>6</c:v>
                </c:pt>
                <c:pt idx="1">
                  <c:v>18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F9-4A15-9B09-11D86ACE831D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8C5-448F-B01D-9EC93519F509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8C5-448F-B01D-9EC93519F509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8C5-448F-B01D-9EC93519F509}"/>
              </c:ext>
            </c:extLst>
          </c:dPt>
          <c:cat>
            <c:strRef>
              <c:f>FrontOfficeBreakout!$C$3:$C$5</c:f>
              <c:strCache>
                <c:ptCount val="3"/>
                <c:pt idx="0">
                  <c:v>USC GhostSquad</c:v>
                </c:pt>
                <c:pt idx="1">
                  <c:v>547G-TEAM5 (NEW)</c:v>
                </c:pt>
                <c:pt idx="2">
                  <c:v>GS/547G MIX</c:v>
                </c:pt>
              </c:strCache>
            </c:strRef>
          </c:cat>
          <c:val>
            <c:numRef>
              <c:f>FrontOfficeBreakout!$E$3:$E$5</c:f>
              <c:numCache>
                <c:formatCode>0%</c:formatCode>
                <c:ptCount val="3"/>
                <c:pt idx="0">
                  <c:v>0.2</c:v>
                </c:pt>
                <c:pt idx="1">
                  <c:v>0.6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F9-4A15-9B09-11D86ACE8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Project by Contrib Auth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C5-414F-8D07-8905D8AF91AD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C5-414F-8D07-8905D8AF91AD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EC5-414F-8D07-8905D8AF91AD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EC5-414F-8D07-8905D8AF91AD}"/>
              </c:ext>
            </c:extLst>
          </c:dPt>
          <c:cat>
            <c:strRef>
              <c:f>FrontOfficeBreakout!$C$10:$C$13</c:f>
              <c:strCache>
                <c:ptCount val="4"/>
                <c:pt idx="0">
                  <c:v>JSS</c:v>
                </c:pt>
                <c:pt idx="1">
                  <c:v>Pranavi</c:v>
                </c:pt>
                <c:pt idx="2">
                  <c:v>Carolina</c:v>
                </c:pt>
                <c:pt idx="3">
                  <c:v>Ghost Team Other Or Mix</c:v>
                </c:pt>
              </c:strCache>
            </c:strRef>
          </c:cat>
          <c:val>
            <c:numRef>
              <c:f>FrontOfficeBreakout!$D$10:$D$13</c:f>
              <c:numCache>
                <c:formatCode>General</c:formatCode>
                <c:ptCount val="4"/>
                <c:pt idx="0">
                  <c:v>25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6-4BD8-9714-6D8DB32F5AB0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EC5-414F-8D07-8905D8AF91AD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EC5-414F-8D07-8905D8AF91AD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EC5-414F-8D07-8905D8AF91AD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EC5-414F-8D07-8905D8AF91AD}"/>
              </c:ext>
            </c:extLst>
          </c:dPt>
          <c:cat>
            <c:strRef>
              <c:f>FrontOfficeBreakout!$C$10:$C$13</c:f>
              <c:strCache>
                <c:ptCount val="4"/>
                <c:pt idx="0">
                  <c:v>JSS</c:v>
                </c:pt>
                <c:pt idx="1">
                  <c:v>Pranavi</c:v>
                </c:pt>
                <c:pt idx="2">
                  <c:v>Carolina</c:v>
                </c:pt>
                <c:pt idx="3">
                  <c:v>Ghost Team Other Or Mix</c:v>
                </c:pt>
              </c:strCache>
            </c:strRef>
          </c:cat>
          <c:val>
            <c:numRef>
              <c:f>FrontOfficeBreakout!$E$10:$E$13</c:f>
              <c:numCache>
                <c:formatCode>0%</c:formatCode>
                <c:ptCount val="4"/>
                <c:pt idx="0">
                  <c:v>0.83333333333333337</c:v>
                </c:pt>
                <c:pt idx="1">
                  <c:v>0.1</c:v>
                </c:pt>
                <c:pt idx="2">
                  <c:v>3.3333333333333333E-2</c:v>
                </c:pt>
                <c:pt idx="3">
                  <c:v>3.3333333333333333E-2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36-4BD8-9714-6D8DB32F5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Code Aging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D9-4E5C-AFCA-64828CABCB83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D9-4E5C-AFCA-64828CABCB83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3D9-4E5C-AFCA-64828CABCB83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3D9-4E5C-AFCA-64828CABCB83}"/>
              </c:ext>
            </c:extLst>
          </c:dPt>
          <c:cat>
            <c:strRef>
              <c:f>FrontOfficeBreakout!$C$18:$C$21</c:f>
              <c:strCache>
                <c:ptCount val="4"/>
                <c:pt idx="0">
                  <c:v>New Code</c:v>
                </c:pt>
                <c:pt idx="1">
                  <c:v>Upgraded Code</c:v>
                </c:pt>
                <c:pt idx="2">
                  <c:v>Ghost Squad S2025</c:v>
                </c:pt>
                <c:pt idx="3">
                  <c:v>TOTAL FILES IN SCOPE MAJOR</c:v>
                </c:pt>
              </c:strCache>
            </c:strRef>
          </c:cat>
          <c:val>
            <c:numRef>
              <c:f>FrontOfficeBreakout!$D$18:$D$21</c:f>
              <c:numCache>
                <c:formatCode>General</c:formatCode>
                <c:ptCount val="4"/>
                <c:pt idx="0">
                  <c:v>18</c:v>
                </c:pt>
                <c:pt idx="1">
                  <c:v>6</c:v>
                </c:pt>
                <c:pt idx="2">
                  <c:v>6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DB-46D0-8111-6875776E2169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3D9-4E5C-AFCA-64828CABCB83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3D9-4E5C-AFCA-64828CABCB83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3D9-4E5C-AFCA-64828CABCB83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3D9-4E5C-AFCA-64828CABCB83}"/>
              </c:ext>
            </c:extLst>
          </c:dPt>
          <c:cat>
            <c:strRef>
              <c:f>FrontOfficeBreakout!$C$18:$C$21</c:f>
              <c:strCache>
                <c:ptCount val="4"/>
                <c:pt idx="0">
                  <c:v>New Code</c:v>
                </c:pt>
                <c:pt idx="1">
                  <c:v>Upgraded Code</c:v>
                </c:pt>
                <c:pt idx="2">
                  <c:v>Ghost Squad S2025</c:v>
                </c:pt>
                <c:pt idx="3">
                  <c:v>TOTAL FILES IN SCOPE MAJOR</c:v>
                </c:pt>
              </c:strCache>
            </c:strRef>
          </c:cat>
          <c:val>
            <c:numRef>
              <c:f>FrontOfficeBreakout!$E$18:$E$21</c:f>
              <c:numCache>
                <c:formatCode>0%</c:formatCode>
                <c:ptCount val="4"/>
                <c:pt idx="0">
                  <c:v>0.6</c:v>
                </c:pt>
                <c:pt idx="1">
                  <c:v>0.2</c:v>
                </c:pt>
                <c:pt idx="2">
                  <c:v>0.2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DB-46D0-8111-6875776E2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https://gliops.glocation.info:18080/filemin/download.cgi?file=cartdetail2b%2Ehtml&amp;path=%2Fgreenvillesoftware%2F547bikes%2Einfo%2Fwww%2F" TargetMode="External"/><Relationship Id="rId13" Type="http://schemas.openxmlformats.org/officeDocument/2006/relationships/hyperlink" Target="https://gliops.glocation.info:18080/filemin/download.cgi?file=images%2Fapplications%2Ehtml&amp;path=%2Fgreenvillesoftware%2F547bikes%2Einfo%2Fwww%2Fimages%2F" TargetMode="External"/><Relationship Id="rId18" Type="http://schemas.openxmlformats.org/officeDocument/2006/relationships/hyperlink" Target="https://gliops.glocation.info:18080/filemin/download.cgi?file=imagetest%2Fselectorbar%2Ehtml&amp;path=%2Fgreenvillesoftware%2F547bikes%2Einfo%2Fwww%2Fimagetest%2F" TargetMode="External"/><Relationship Id="rId26" Type="http://schemas.openxmlformats.org/officeDocument/2006/relationships/hyperlink" Target="https://gliops.glocation.info:18080/filemin/download.cgi?file=parksreview5%2Ehtml&amp;path=%2Fgreenvillesoftware%2F547bikes%2Einfo%2Fwww%2F" TargetMode="External"/><Relationship Id="rId3" Type="http://schemas.openxmlformats.org/officeDocument/2006/relationships/hyperlink" Target="https://gliops.glocation.info:18080/filemin/download.cgi?file=adminhome%2Ehtml&amp;path=%2Fgreenvillesoftware%2F547bikes%2Einfo%2Fwww%2F" TargetMode="External"/><Relationship Id="rId21" Type="http://schemas.openxmlformats.org/officeDocument/2006/relationships/hyperlink" Target="https://gliops.glocation.info:18080/filemin/download.cgi?file=loginerror%2Ehtml&amp;path=%2Fgreenvillesoftware%2F547bikes%2Einfo%2Fwww%2F" TargetMode="External"/><Relationship Id="rId7" Type="http://schemas.openxmlformats.org/officeDocument/2006/relationships/hyperlink" Target="https://gliops.glocation.info:18080/filemin/download.cgi?file=cartdetail%2Ehtml&amp;path=%2Fgreenvillesoftware%2F547bikes%2Einfo%2Fwww%2F" TargetMode="External"/><Relationship Id="rId12" Type="http://schemas.openxmlformats.org/officeDocument/2006/relationships/hyperlink" Target="https://gliops.glocation.info:18080/filemin/download.cgi?file=help%2Ehtml&amp;path=%2Fgreenvillesoftware%2F547bikes%2Einfo%2Fwww%2F" TargetMode="External"/><Relationship Id="rId17" Type="http://schemas.openxmlformats.org/officeDocument/2006/relationships/hyperlink" Target="https://gliops.glocation.info:18080/filemin/download.cgi?file=images%2Fprovisioning%2Ehtml&amp;path=%2Fgreenvillesoftware%2F547bikes%2Einfo%2Fwww%2Fimages%2F" TargetMode="External"/><Relationship Id="rId25" Type="http://schemas.openxmlformats.org/officeDocument/2006/relationships/hyperlink" Target="https://gliops.glocation.info:18080/filemin/download.cgi?file=parks5%2Ehtml&amp;path=%2Fgreenvillesoftware%2F547bikes%2Einfo%2Fwww%2F" TargetMode="External"/><Relationship Id="rId2" Type="http://schemas.openxmlformats.org/officeDocument/2006/relationships/image" Target="../media/image1.png"/><Relationship Id="rId16" Type="http://schemas.openxmlformats.org/officeDocument/2006/relationships/hyperlink" Target="https://gliops.glocation.info:18080/filemin/download.cgi?file=images%2Fitsm%2Ehtml&amp;path=%2Fgreenvillesoftware%2F547bikes%2Einfo%2Fwww%2Fimages%2F" TargetMode="External"/><Relationship Id="rId20" Type="http://schemas.openxmlformats.org/officeDocument/2006/relationships/hyperlink" Target="https://gliops.glocation.info:18080/filemin/download.cgi?file=login%2Ehtml&amp;path=%2Fgreenvillesoftware%2F547bikes%2Einfo%2Fwww%2F" TargetMode="External"/><Relationship Id="rId29" Type="http://schemas.openxmlformats.org/officeDocument/2006/relationships/hyperlink" Target="https://gliops.glocation.info:18080/filemin/download.cgi?file=paynow2%2Ehtml&amp;path=%2Fgreenvillesoftware%2F547bikes%2Einfo%2Fwww%2F" TargetMode="External"/><Relationship Id="rId1" Type="http://schemas.openxmlformats.org/officeDocument/2006/relationships/hyperlink" Target="https://gliops.glocation.info:18080/filemin/download.cgi?file=adminerror%2Ehtml&amp;path=%2Fgreenvillesoftware%2F547bikes%2Einfo%2Fwww%2F" TargetMode="External"/><Relationship Id="rId6" Type="http://schemas.openxmlformats.org/officeDocument/2006/relationships/hyperlink" Target="https://gliops.glocation.info:18080/filemin/download.cgi?file=cartcancel%2Ehtml&amp;path=%2Fgreenvillesoftware%2F547bikes%2Einfo%2Fwww%2F" TargetMode="External"/><Relationship Id="rId11" Type="http://schemas.openxmlformats.org/officeDocument/2006/relationships/hyperlink" Target="https://gliops.glocation.info:18080/filemin/download.cgi?file=findpark%2Ehtml&amp;path=%2Fgreenvillesoftware%2F547bikes%2Einfo%2Fwww%2F" TargetMode="External"/><Relationship Id="rId24" Type="http://schemas.openxmlformats.org/officeDocument/2006/relationships/hyperlink" Target="https://gliops.glocation.info:18080/filemin/download.cgi?file=parkmaint%2Ehtml&amp;path=%2Fgreenvillesoftware%2F547bikes%2Einfo%2Fwww%2F" TargetMode="External"/><Relationship Id="rId5" Type="http://schemas.openxmlformats.org/officeDocument/2006/relationships/hyperlink" Target="https://gliops.glocation.info:18080/filemin/download.cgi?file=cart5%2Ehtml&amp;path=%2Fgreenvillesoftware%2F547bikes%2Einfo%2Fwww%2F" TargetMode="External"/><Relationship Id="rId15" Type="http://schemas.openxmlformats.org/officeDocument/2006/relationships/hyperlink" Target="https://gliops.glocation.info:18080/filemin/download.cgi?file=images%2Finventory%2Ehtml&amp;path=%2Fgreenvillesoftware%2F547bikes%2Einfo%2Fwww%2Fimages%2F" TargetMode="External"/><Relationship Id="rId23" Type="http://schemas.openxmlformats.org/officeDocument/2006/relationships/hyperlink" Target="https://gliops.glocation.info:18080/filemin/download.cgi?file=mybookings5%2Ehtml&amp;path=%2Fgreenvillesoftware%2F547bikes%2Einfo%2Fwww%2F" TargetMode="External"/><Relationship Id="rId28" Type="http://schemas.openxmlformats.org/officeDocument/2006/relationships/hyperlink" Target="https://gliops.glocation.info:18080/filemin/download.cgi?file=payments8%2Ehtml&amp;path=%2Fgreenvillesoftware%2F547bikes%2Einfo%2Fwww%2F" TargetMode="External"/><Relationship Id="rId10" Type="http://schemas.openxmlformats.org/officeDocument/2006/relationships/hyperlink" Target="https://gliops.glocation.info:18080/filemin/download.cgi?file=employeemaint%2Ehtml&amp;path=%2Fgreenvillesoftware%2F547bikes%2Einfo%2Fwww%2F" TargetMode="External"/><Relationship Id="rId19" Type="http://schemas.openxmlformats.org/officeDocument/2006/relationships/hyperlink" Target="https://gliops.glocation.info:18080/filemin/download.cgi?file=index%2Ehtml&amp;path=%2Fgreenvillesoftware%2F547bikes%2Einfo%2Fwww%2F" TargetMode="External"/><Relationship Id="rId4" Type="http://schemas.openxmlformats.org/officeDocument/2006/relationships/hyperlink" Target="https://gliops.glocation.info:18080/filemin/download.cgi?file=book5%2Ehtml&amp;path=%2Fgreenvillesoftware%2F547bikes%2Einfo%2Fwww%2F" TargetMode="External"/><Relationship Id="rId9" Type="http://schemas.openxmlformats.org/officeDocument/2006/relationships/hyperlink" Target="https://gliops.glocation.info:18080/filemin/download.cgi?file=cartreview%2Ehtml&amp;path=%2Fgreenvillesoftware%2F547bikes%2Einfo%2Fwww%2F" TargetMode="External"/><Relationship Id="rId14" Type="http://schemas.openxmlformats.org/officeDocument/2006/relationships/hyperlink" Target="https://gliops.glocation.info:18080/filemin/download.cgi?file=images%2Fchanges%2Ehtml&amp;path=%2Fgreenvillesoftware%2F547bikes%2Einfo%2Fwww%2Fimages%2F" TargetMode="External"/><Relationship Id="rId22" Type="http://schemas.openxmlformats.org/officeDocument/2006/relationships/hyperlink" Target="https://gliops.glocation.info:18080/filemin/download.cgi?file=manager%2Ehtml&amp;path=%2Fgreenvillesoftware%2F547bikes%2Einfo%2Fwww%2F" TargetMode="External"/><Relationship Id="rId27" Type="http://schemas.openxmlformats.org/officeDocument/2006/relationships/hyperlink" Target="https://gliops.glocation.info:18080/filemin/download.cgi?file=parkvisualizations%2Ehtml&amp;path=%2Fgreenvillesoftware%2F547bikes%2Einfo%2Fwww%2F" TargetMode="External"/><Relationship Id="rId30" Type="http://schemas.openxmlformats.org/officeDocument/2006/relationships/hyperlink" Target="https://gliops.glocation.info:18080/filemin/download.cgi?file=picturewall%2Ehtml&amp;path=%2Fgreenvillesoftware%2F547bikes%2Einfo%2Fwww%2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</xdr:colOff>
      <xdr:row>16</xdr:row>
      <xdr:rowOff>33337</xdr:rowOff>
    </xdr:from>
    <xdr:to>
      <xdr:col>21</xdr:col>
      <xdr:colOff>323850</xdr:colOff>
      <xdr:row>30</xdr:row>
      <xdr:rowOff>109537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AABE11-EDE0-0CAF-E21E-FE3FC34B89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604837</xdr:colOff>
      <xdr:row>1</xdr:row>
      <xdr:rowOff>23812</xdr:rowOff>
    </xdr:from>
    <xdr:to>
      <xdr:col>21</xdr:col>
      <xdr:colOff>300037</xdr:colOff>
      <xdr:row>15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9B2AD8-22B3-4455-D46B-DE925D3A3037}"/>
            </a:ext>
            <a:ext uri="{147F2762-F138-4A5C-976F-8EAC2B608ADB}">
              <a16:predDERef xmlns:a16="http://schemas.microsoft.com/office/drawing/2014/main" pred="{76AABE11-EDE0-0CAF-E21E-FE3FC34B89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42862</xdr:colOff>
      <xdr:row>31</xdr:row>
      <xdr:rowOff>61912</xdr:rowOff>
    </xdr:from>
    <xdr:to>
      <xdr:col>21</xdr:col>
      <xdr:colOff>347662</xdr:colOff>
      <xdr:row>45</xdr:row>
      <xdr:rowOff>138112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4A58BB6-47F3-E3DA-7A9E-99A4A5A2D25D}"/>
            </a:ext>
            <a:ext uri="{147F2762-F138-4A5C-976F-8EAC2B608ADB}">
              <a16:predDERef xmlns:a16="http://schemas.microsoft.com/office/drawing/2014/main" pred="{799B2AD8-22B3-4455-D46B-DE925D3A30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128587</xdr:colOff>
      <xdr:row>4</xdr:row>
      <xdr:rowOff>42862</xdr:rowOff>
    </xdr:from>
    <xdr:to>
      <xdr:col>13</xdr:col>
      <xdr:colOff>433387</xdr:colOff>
      <xdr:row>18</xdr:row>
      <xdr:rowOff>119062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29088EC-9F5E-50A5-1302-3E4853FF22BD}"/>
            </a:ext>
            <a:ext uri="{147F2762-F138-4A5C-976F-8EAC2B608ADB}">
              <a16:predDERef xmlns:a16="http://schemas.microsoft.com/office/drawing/2014/main" pred="{24A58BB6-47F3-E3DA-7A9E-99A4A5A2D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457200</xdr:colOff>
      <xdr:row>1</xdr:row>
      <xdr:rowOff>38100</xdr:rowOff>
    </xdr:from>
    <xdr:to>
      <xdr:col>18</xdr:col>
      <xdr:colOff>152400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ADF930-6F06-034A-2891-DAD038CDB2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485775</xdr:colOff>
      <xdr:row>16</xdr:row>
      <xdr:rowOff>76200</xdr:rowOff>
    </xdr:from>
    <xdr:to>
      <xdr:col>18</xdr:col>
      <xdr:colOff>180975</xdr:colOff>
      <xdr:row>30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8408B6-B7F9-628D-36EA-3A174F0B2264}"/>
            </a:ext>
            <a:ext uri="{147F2762-F138-4A5C-976F-8EAC2B608ADB}">
              <a16:predDERef xmlns:a16="http://schemas.microsoft.com/office/drawing/2014/main" pred="{DBADF930-6F06-034A-2891-DAD038CDB2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476250</xdr:colOff>
      <xdr:row>31</xdr:row>
      <xdr:rowOff>85725</xdr:rowOff>
    </xdr:from>
    <xdr:to>
      <xdr:col>18</xdr:col>
      <xdr:colOff>171450</xdr:colOff>
      <xdr:row>45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73BB54-DE59-7B27-BC20-D2941B45F03E}"/>
            </a:ext>
            <a:ext uri="{147F2762-F138-4A5C-976F-8EAC2B608ADB}">
              <a16:predDERef xmlns:a16="http://schemas.microsoft.com/office/drawing/2014/main" pred="{B98408B6-B7F9-628D-36EA-3A174F0B2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209550</xdr:colOff>
      <xdr:row>2</xdr:row>
      <xdr:rowOff>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28B595-D236-A492-7028-86AE39F67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0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209550</xdr:colOff>
      <xdr:row>3</xdr:row>
      <xdr:rowOff>0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B7FB5BF-3C28-0DEB-2135-3AEB6BF3B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0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209550</xdr:colOff>
      <xdr:row>4</xdr:row>
      <xdr:rowOff>0</xdr:rowOff>
    </xdr:to>
    <xdr:pic>
      <xdr:nvPicPr>
        <xdr:cNvPr id="4" name="Pictur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411C06F-1060-34DB-C2D9-603F54B1B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0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209550</xdr:colOff>
      <xdr:row>5</xdr:row>
      <xdr:rowOff>0</xdr:rowOff>
    </xdr:to>
    <xdr:pic>
      <xdr:nvPicPr>
        <xdr:cNvPr id="5" name="Pictur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45B6E8D-EF13-8644-77FF-D50565474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00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209550</xdr:colOff>
      <xdr:row>6</xdr:row>
      <xdr:rowOff>0</xdr:rowOff>
    </xdr:to>
    <xdr:pic>
      <xdr:nvPicPr>
        <xdr:cNvPr id="6" name="Pictur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D1ACAB0-3458-1275-F348-478E999DA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00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209550</xdr:colOff>
      <xdr:row>7</xdr:row>
      <xdr:rowOff>0</xdr:rowOff>
    </xdr:to>
    <xdr:pic>
      <xdr:nvPicPr>
        <xdr:cNvPr id="7" name="Pictur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A5ED05D-0A1B-426D-C512-C06965A24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00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209550</xdr:colOff>
      <xdr:row>8</xdr:row>
      <xdr:rowOff>0</xdr:rowOff>
    </xdr:to>
    <xdr:pic>
      <xdr:nvPicPr>
        <xdr:cNvPr id="8" name="Pictur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476D206-F9BA-85C3-B1CA-7659D24DA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00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209550</xdr:colOff>
      <xdr:row>9</xdr:row>
      <xdr:rowOff>0</xdr:rowOff>
    </xdr:to>
    <xdr:pic>
      <xdr:nvPicPr>
        <xdr:cNvPr id="9" name="Pictur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85FBD33-A72A-3DB7-2C05-C86CB3CD5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00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209550</xdr:colOff>
      <xdr:row>10</xdr:row>
      <xdr:rowOff>0</xdr:rowOff>
    </xdr:to>
    <xdr:pic>
      <xdr:nvPicPr>
        <xdr:cNvPr id="10" name="Pictur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7BAC0E5-E5DC-7A26-4488-A433C0632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00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209550</xdr:colOff>
      <xdr:row>11</xdr:row>
      <xdr:rowOff>0</xdr:rowOff>
    </xdr:to>
    <xdr:pic>
      <xdr:nvPicPr>
        <xdr:cNvPr id="11" name="Pictur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A863611-6959-BEDD-19A2-00AF214F6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00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209550</xdr:colOff>
      <xdr:row>12</xdr:row>
      <xdr:rowOff>0</xdr:rowOff>
    </xdr:to>
    <xdr:pic>
      <xdr:nvPicPr>
        <xdr:cNvPr id="12" name="Pictur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7538844-9917-CC6F-2B1D-045C5CD4E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00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209550</xdr:colOff>
      <xdr:row>13</xdr:row>
      <xdr:rowOff>0</xdr:rowOff>
    </xdr:to>
    <xdr:pic>
      <xdr:nvPicPr>
        <xdr:cNvPr id="13" name="Picture 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2DEF74C-42E3-04D7-5C26-EE4BD011D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00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209550</xdr:colOff>
      <xdr:row>14</xdr:row>
      <xdr:rowOff>0</xdr:rowOff>
    </xdr:to>
    <xdr:pic>
      <xdr:nvPicPr>
        <xdr:cNvPr id="14" name="Picture 1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9113442-9DF9-819C-72E4-00F188593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00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209550</xdr:colOff>
      <xdr:row>15</xdr:row>
      <xdr:rowOff>0</xdr:rowOff>
    </xdr:to>
    <xdr:pic>
      <xdr:nvPicPr>
        <xdr:cNvPr id="15" name="Picture 1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E251722-9051-D2E1-5411-7F37EAF61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00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209550</xdr:colOff>
      <xdr:row>16</xdr:row>
      <xdr:rowOff>0</xdr:rowOff>
    </xdr:to>
    <xdr:pic>
      <xdr:nvPicPr>
        <xdr:cNvPr id="16" name="Picture 1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EA3DE38-E1F5-F95C-54E5-00B275708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00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209550</xdr:colOff>
      <xdr:row>17</xdr:row>
      <xdr:rowOff>0</xdr:rowOff>
    </xdr:to>
    <xdr:pic>
      <xdr:nvPicPr>
        <xdr:cNvPr id="17" name="Picture 1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6BE17178-1D7D-3418-17AB-E1C3B20FB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00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209550</xdr:colOff>
      <xdr:row>18</xdr:row>
      <xdr:rowOff>0</xdr:rowOff>
    </xdr:to>
    <xdr:pic>
      <xdr:nvPicPr>
        <xdr:cNvPr id="18" name="Picture 1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DD480D7C-9C0D-85FE-6880-0B6FAB708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00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209550</xdr:colOff>
      <xdr:row>19</xdr:row>
      <xdr:rowOff>0</xdr:rowOff>
    </xdr:to>
    <xdr:pic>
      <xdr:nvPicPr>
        <xdr:cNvPr id="19" name="Picture 1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B7F0D628-DC24-4A9A-C9ED-86EB5F7DE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00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209550</xdr:colOff>
      <xdr:row>20</xdr:row>
      <xdr:rowOff>0</xdr:rowOff>
    </xdr:to>
    <xdr:pic>
      <xdr:nvPicPr>
        <xdr:cNvPr id="20" name="Picture 19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EF05BA9F-D25D-B88C-A47D-BD23FD1DC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800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209550</xdr:colOff>
      <xdr:row>21</xdr:row>
      <xdr:rowOff>0</xdr:rowOff>
    </xdr:to>
    <xdr:pic>
      <xdr:nvPicPr>
        <xdr:cNvPr id="21" name="Picture 20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8B55D576-3CD3-359A-8303-39725B91B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00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209550</xdr:colOff>
      <xdr:row>22</xdr:row>
      <xdr:rowOff>0</xdr:rowOff>
    </xdr:to>
    <xdr:pic>
      <xdr:nvPicPr>
        <xdr:cNvPr id="22" name="Picture 21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779988D8-E362-8469-D273-60D3A73A6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200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209550</xdr:colOff>
      <xdr:row>23</xdr:row>
      <xdr:rowOff>0</xdr:rowOff>
    </xdr:to>
    <xdr:pic>
      <xdr:nvPicPr>
        <xdr:cNvPr id="23" name="Picture 22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1C0C48FE-6D00-3602-EA0E-AAF2D46B8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00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209550</xdr:colOff>
      <xdr:row>24</xdr:row>
      <xdr:rowOff>0</xdr:rowOff>
    </xdr:to>
    <xdr:pic>
      <xdr:nvPicPr>
        <xdr:cNvPr id="24" name="Picture 23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635A6D85-964E-6419-C7D6-E0771E97E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00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209550</xdr:colOff>
      <xdr:row>25</xdr:row>
      <xdr:rowOff>0</xdr:rowOff>
    </xdr:to>
    <xdr:pic>
      <xdr:nvPicPr>
        <xdr:cNvPr id="25" name="Picture 24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9AB7110B-0A3A-7D41-B7D7-904451159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00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209550</xdr:colOff>
      <xdr:row>26</xdr:row>
      <xdr:rowOff>0</xdr:rowOff>
    </xdr:to>
    <xdr:pic>
      <xdr:nvPicPr>
        <xdr:cNvPr id="26" name="Picture 25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30886F8A-1C1F-5CE1-BC7D-2F88861FE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000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209550</xdr:colOff>
      <xdr:row>27</xdr:row>
      <xdr:rowOff>0</xdr:rowOff>
    </xdr:to>
    <xdr:pic>
      <xdr:nvPicPr>
        <xdr:cNvPr id="27" name="Picture 26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B1AB2F10-AE2D-331F-E961-CA671FA71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200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209550</xdr:colOff>
      <xdr:row>28</xdr:row>
      <xdr:rowOff>0</xdr:rowOff>
    </xdr:to>
    <xdr:pic>
      <xdr:nvPicPr>
        <xdr:cNvPr id="28" name="Picture 27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58946F7B-6F90-CDD3-A4A3-3F6CD18E1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400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209550</xdr:colOff>
      <xdr:row>29</xdr:row>
      <xdr:rowOff>0</xdr:rowOff>
    </xdr:to>
    <xdr:pic>
      <xdr:nvPicPr>
        <xdr:cNvPr id="29" name="Picture 28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4418BE43-3C38-5ACE-9CA3-A8FF9B0CC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600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209550</xdr:colOff>
      <xdr:row>30</xdr:row>
      <xdr:rowOff>9525</xdr:rowOff>
    </xdr:to>
    <xdr:pic>
      <xdr:nvPicPr>
        <xdr:cNvPr id="30" name="Picture 29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4C4641EB-4A41-ED00-CF80-6509FFFB8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800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en.wikipedia.org/wiki/Nomura_Research_Institute" TargetMode="External"/><Relationship Id="rId1" Type="http://schemas.openxmlformats.org/officeDocument/2006/relationships/hyperlink" Target="https://en.wikipedia.org/wiki/Ping_Identity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E9678-B4BF-4F0C-822C-4D3FC9DCD5C7}">
  <dimension ref="C2:M29"/>
  <sheetViews>
    <sheetView tabSelected="1" workbookViewId="0">
      <selection activeCell="T4" sqref="T4"/>
    </sheetView>
  </sheetViews>
  <sheetFormatPr defaultRowHeight="15"/>
  <cols>
    <col min="3" max="3" width="24.140625" customWidth="1"/>
    <col min="4" max="7" width="9.140625" style="119"/>
    <col min="8" max="8" width="11.7109375" style="119" customWidth="1"/>
    <col min="9" max="11" width="9.140625" style="119"/>
    <col min="12" max="12" width="11.7109375" style="119" customWidth="1"/>
    <col min="13" max="13" width="38" style="119" customWidth="1"/>
  </cols>
  <sheetData>
    <row r="2" spans="3:13">
      <c r="D2" s="123" t="s">
        <v>0</v>
      </c>
      <c r="E2" s="123" t="s">
        <v>1</v>
      </c>
      <c r="F2" s="123" t="s">
        <v>2</v>
      </c>
      <c r="G2" s="123" t="s">
        <v>3</v>
      </c>
      <c r="H2" s="123" t="s">
        <v>4</v>
      </c>
      <c r="I2" s="123" t="s">
        <v>5</v>
      </c>
      <c r="J2" s="128" t="s">
        <v>6</v>
      </c>
      <c r="K2" s="128" t="s">
        <v>7</v>
      </c>
      <c r="L2" s="128" t="s">
        <v>8</v>
      </c>
      <c r="M2" s="123" t="s">
        <v>9</v>
      </c>
    </row>
    <row r="3" spans="3:13">
      <c r="C3" s="124" t="s">
        <v>10</v>
      </c>
      <c r="D3" s="105">
        <f>UIHTML!E34</f>
        <v>11</v>
      </c>
      <c r="E3" s="105">
        <f>UIHTML!F34</f>
        <v>16</v>
      </c>
      <c r="F3" s="105">
        <f>UIHTML!G34</f>
        <v>14</v>
      </c>
      <c r="G3" s="105">
        <f>SUM(D3:F3)-H3</f>
        <v>36</v>
      </c>
      <c r="H3" s="105">
        <v>5</v>
      </c>
      <c r="I3" s="125">
        <v>8</v>
      </c>
      <c r="J3" s="125">
        <f>SUM(G3:I3)</f>
        <v>49</v>
      </c>
      <c r="K3" s="129">
        <f>G3/J3</f>
        <v>0.73469387755102045</v>
      </c>
      <c r="L3" s="130">
        <f>(G3+I3)/J3</f>
        <v>0.89795918367346939</v>
      </c>
      <c r="M3" s="127" t="s">
        <v>11</v>
      </c>
    </row>
    <row r="4" spans="3:13">
      <c r="C4" s="124" t="s">
        <v>12</v>
      </c>
      <c r="D4" s="105">
        <f>UIREACT!E37</f>
        <v>0</v>
      </c>
      <c r="E4" s="105">
        <f>UIREACT!F37</f>
        <v>25</v>
      </c>
      <c r="F4" s="105">
        <f>UIREACT!G37</f>
        <v>8</v>
      </c>
      <c r="G4" s="105">
        <v>9</v>
      </c>
      <c r="H4" s="105">
        <v>16</v>
      </c>
      <c r="I4" s="125">
        <v>9</v>
      </c>
      <c r="J4" s="125">
        <f t="shared" ref="J4:J6" si="0">SUM(G4:I4)</f>
        <v>34</v>
      </c>
      <c r="K4" s="129">
        <f t="shared" ref="K4:K6" si="1">G4/J4</f>
        <v>0.26470588235294118</v>
      </c>
      <c r="L4" s="130">
        <f t="shared" ref="L4:L6" si="2">(G4+I4)/J4</f>
        <v>0.52941176470588236</v>
      </c>
      <c r="M4" s="127" t="s">
        <v>13</v>
      </c>
    </row>
    <row r="5" spans="3:13">
      <c r="C5" s="124" t="s">
        <v>14</v>
      </c>
      <c r="D5" s="105">
        <v>0</v>
      </c>
      <c r="E5" s="105">
        <v>0</v>
      </c>
      <c r="F5" s="105">
        <f>UIIONIC!G14</f>
        <v>11</v>
      </c>
      <c r="G5" s="105">
        <v>11</v>
      </c>
      <c r="H5" s="105">
        <v>0</v>
      </c>
      <c r="I5" s="125">
        <v>0</v>
      </c>
      <c r="J5" s="125">
        <f t="shared" si="0"/>
        <v>11</v>
      </c>
      <c r="K5" s="129">
        <f t="shared" si="1"/>
        <v>1</v>
      </c>
      <c r="L5" s="130">
        <f t="shared" si="2"/>
        <v>1</v>
      </c>
      <c r="M5" s="127" t="s">
        <v>15</v>
      </c>
    </row>
    <row r="6" spans="3:13">
      <c r="C6" s="124" t="s">
        <v>16</v>
      </c>
      <c r="D6" s="120">
        <f>UIMANAGEROTHER!E27</f>
        <v>2</v>
      </c>
      <c r="E6" s="120">
        <f>UIMANAGEROTHER!F27</f>
        <v>0</v>
      </c>
      <c r="F6" s="120">
        <f>UIMANAGEROTHER!G27</f>
        <v>22</v>
      </c>
      <c r="G6" s="120">
        <v>18</v>
      </c>
      <c r="H6" s="120">
        <v>0</v>
      </c>
      <c r="I6" s="126">
        <v>0</v>
      </c>
      <c r="J6" s="125">
        <f t="shared" si="0"/>
        <v>18</v>
      </c>
      <c r="K6" s="129">
        <f t="shared" si="1"/>
        <v>1</v>
      </c>
      <c r="L6" s="130">
        <f t="shared" si="2"/>
        <v>1</v>
      </c>
      <c r="M6" s="127" t="s">
        <v>17</v>
      </c>
    </row>
    <row r="7" spans="3:13">
      <c r="D7" s="105">
        <v>13</v>
      </c>
      <c r="E7" s="105">
        <f>E4+E3</f>
        <v>41</v>
      </c>
      <c r="F7" s="125">
        <f>SUM(F3:F6)</f>
        <v>55</v>
      </c>
      <c r="G7" s="105">
        <f>SUM(G3:G6)</f>
        <v>74</v>
      </c>
      <c r="H7" s="105">
        <f>SUM(H3:H4)</f>
        <v>21</v>
      </c>
      <c r="I7" s="125">
        <f>SUM(I3:I4)</f>
        <v>17</v>
      </c>
      <c r="J7" s="125">
        <f>SUM(G7:I7)</f>
        <v>112</v>
      </c>
      <c r="K7" s="105"/>
      <c r="L7" s="122"/>
    </row>
    <row r="8" spans="3:13">
      <c r="E8" s="121"/>
    </row>
    <row r="9" spans="3:13">
      <c r="C9" s="101" t="s">
        <v>18</v>
      </c>
      <c r="D9" s="105">
        <v>5</v>
      </c>
      <c r="E9" s="105">
        <v>12</v>
      </c>
      <c r="F9" s="105">
        <f>163-17</f>
        <v>146</v>
      </c>
      <c r="G9" s="105">
        <v>164</v>
      </c>
      <c r="H9" s="105">
        <v>1</v>
      </c>
      <c r="I9" s="105">
        <v>0</v>
      </c>
      <c r="J9" s="105">
        <v>165</v>
      </c>
      <c r="K9" s="129">
        <f>G9/J9</f>
        <v>0.9939393939393939</v>
      </c>
      <c r="L9" s="130">
        <f t="shared" ref="L9:L11" si="3">(G9+I9)/J9</f>
        <v>0.9939393939393939</v>
      </c>
      <c r="M9" s="105" t="s">
        <v>19</v>
      </c>
    </row>
    <row r="10" spans="3:13">
      <c r="C10" s="101" t="s">
        <v>20</v>
      </c>
      <c r="D10" s="120">
        <v>0</v>
      </c>
      <c r="E10" s="120">
        <v>2</v>
      </c>
      <c r="F10" s="120">
        <v>8</v>
      </c>
      <c r="G10" s="120">
        <v>10</v>
      </c>
      <c r="H10" s="120">
        <v>0</v>
      </c>
      <c r="I10" s="120">
        <v>0</v>
      </c>
      <c r="J10" s="120">
        <v>10</v>
      </c>
      <c r="K10" s="132">
        <f>J10/G10</f>
        <v>1</v>
      </c>
      <c r="L10" s="130">
        <f t="shared" si="3"/>
        <v>1</v>
      </c>
      <c r="M10" s="120"/>
    </row>
    <row r="11" spans="3:13">
      <c r="D11" s="105"/>
      <c r="E11" s="105">
        <f>SUM(E9:E10)</f>
        <v>14</v>
      </c>
      <c r="F11" s="105">
        <f t="shared" ref="F11:J11" si="4">SUM(F9:F10)</f>
        <v>154</v>
      </c>
      <c r="G11" s="105">
        <f t="shared" si="4"/>
        <v>174</v>
      </c>
      <c r="H11" s="105">
        <f t="shared" si="4"/>
        <v>1</v>
      </c>
      <c r="I11" s="105">
        <f t="shared" si="4"/>
        <v>0</v>
      </c>
      <c r="J11" s="105">
        <f t="shared" si="4"/>
        <v>175</v>
      </c>
      <c r="K11" s="129">
        <f>G11/J11</f>
        <v>0.99428571428571433</v>
      </c>
      <c r="L11" s="130">
        <f t="shared" si="3"/>
        <v>0.99428571428571433</v>
      </c>
      <c r="M11" s="105"/>
    </row>
    <row r="12" spans="3:13">
      <c r="D12" s="121"/>
      <c r="E12" s="121"/>
      <c r="F12" s="121"/>
      <c r="G12" s="121"/>
      <c r="H12" s="121"/>
      <c r="I12" s="121"/>
      <c r="J12" s="121"/>
      <c r="K12" s="131"/>
    </row>
    <row r="13" spans="3:13">
      <c r="C13" s="101" t="s">
        <v>21</v>
      </c>
      <c r="D13" s="121"/>
      <c r="E13" s="121"/>
      <c r="F13" s="121"/>
      <c r="G13" s="121">
        <f>G11+G7</f>
        <v>248</v>
      </c>
      <c r="H13" s="121">
        <f>H11+H7</f>
        <v>22</v>
      </c>
      <c r="I13" s="121">
        <f>I11+I7</f>
        <v>17</v>
      </c>
      <c r="J13" s="121">
        <f>J11+J7</f>
        <v>287</v>
      </c>
      <c r="K13" s="129">
        <f>G13/J13</f>
        <v>0.86411149825783973</v>
      </c>
      <c r="L13" s="133">
        <f>(G13+I13)/J13</f>
        <v>0.9233449477351916</v>
      </c>
      <c r="M13" s="105" t="s">
        <v>22</v>
      </c>
    </row>
    <row r="16" spans="3:13">
      <c r="C16" s="156" t="s">
        <v>23</v>
      </c>
      <c r="D16" s="157"/>
      <c r="E16" s="158"/>
      <c r="H16" s="134" t="s">
        <v>475</v>
      </c>
    </row>
    <row r="17" spans="3:13">
      <c r="C17" s="101" t="s">
        <v>24</v>
      </c>
      <c r="D17" s="105"/>
      <c r="E17" s="105">
        <v>25</v>
      </c>
      <c r="H17" s="134" t="s">
        <v>476</v>
      </c>
    </row>
    <row r="18" spans="3:13">
      <c r="C18" s="101" t="s">
        <v>20</v>
      </c>
      <c r="D18" s="105"/>
      <c r="E18" s="105">
        <v>2</v>
      </c>
      <c r="H18" s="134" t="s">
        <v>477</v>
      </c>
    </row>
    <row r="19" spans="3:13">
      <c r="C19" s="101" t="s">
        <v>25</v>
      </c>
      <c r="D19" s="105"/>
      <c r="E19" s="105">
        <v>2</v>
      </c>
    </row>
    <row r="20" spans="3:13">
      <c r="C20" s="101" t="s">
        <v>26</v>
      </c>
      <c r="D20" s="105"/>
      <c r="E20" s="105">
        <v>5</v>
      </c>
      <c r="H20" s="138" t="s">
        <v>27</v>
      </c>
      <c r="I20" s="138"/>
      <c r="J20" s="138"/>
      <c r="K20" s="138"/>
      <c r="L20" s="138"/>
      <c r="M20" s="138"/>
    </row>
    <row r="21" spans="3:13">
      <c r="C21" s="101" t="s">
        <v>28</v>
      </c>
      <c r="D21" s="105"/>
      <c r="E21" s="105">
        <v>14</v>
      </c>
      <c r="H21" s="134" t="s">
        <v>29</v>
      </c>
    </row>
    <row r="22" spans="3:13">
      <c r="C22" s="101" t="s">
        <v>30</v>
      </c>
      <c r="D22" s="105"/>
      <c r="E22" s="105">
        <v>1</v>
      </c>
    </row>
    <row r="23" spans="3:13">
      <c r="C23" s="101" t="s">
        <v>31</v>
      </c>
      <c r="D23" s="105"/>
      <c r="E23" s="105">
        <v>5</v>
      </c>
    </row>
    <row r="24" spans="3:13">
      <c r="C24" s="101" t="s">
        <v>32</v>
      </c>
      <c r="D24" s="105"/>
      <c r="E24" s="105">
        <v>10</v>
      </c>
    </row>
    <row r="25" spans="3:13">
      <c r="C25" s="101" t="s">
        <v>33</v>
      </c>
      <c r="D25" s="105"/>
      <c r="E25" s="128">
        <f>SUM(E16:E24)</f>
        <v>64</v>
      </c>
    </row>
    <row r="26" spans="3:13">
      <c r="E26" s="105">
        <f>E25/4</f>
        <v>16</v>
      </c>
      <c r="F26" s="135" t="s">
        <v>34</v>
      </c>
      <c r="G26" s="105"/>
    </row>
    <row r="28" spans="3:13">
      <c r="C28" s="136" t="s">
        <v>35</v>
      </c>
      <c r="D28" s="137">
        <v>248</v>
      </c>
      <c r="E28" s="137">
        <v>16</v>
      </c>
      <c r="F28" s="137">
        <f>D28/E28</f>
        <v>15.5</v>
      </c>
      <c r="G28" s="134" t="s">
        <v>36</v>
      </c>
    </row>
    <row r="29" spans="3:13">
      <c r="G29" s="134" t="s">
        <v>37</v>
      </c>
    </row>
  </sheetData>
  <mergeCells count="2">
    <mergeCell ref="H20:M20"/>
    <mergeCell ref="C16:E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B2151-2C35-4330-90F5-974427CB5944}">
  <dimension ref="B2:P65"/>
  <sheetViews>
    <sheetView topLeftCell="A27" workbookViewId="0">
      <selection activeCell="C56" sqref="C56"/>
    </sheetView>
  </sheetViews>
  <sheetFormatPr defaultColWidth="9.140625" defaultRowHeight="11.25"/>
  <cols>
    <col min="1" max="1" width="9.140625" style="6"/>
    <col min="2" max="2" width="9.140625" style="9"/>
    <col min="3" max="3" width="65.28515625" style="26" customWidth="1"/>
    <col min="4" max="4" width="7.85546875" style="26" bestFit="1" customWidth="1"/>
    <col min="5" max="5" width="15.42578125" style="6" bestFit="1" customWidth="1"/>
    <col min="6" max="7" width="15.42578125" style="6" customWidth="1"/>
    <col min="8" max="8" width="21.5703125" style="6" bestFit="1" customWidth="1"/>
    <col min="9" max="9" width="22.5703125" style="6" bestFit="1" customWidth="1"/>
    <col min="10" max="10" width="14.42578125" style="6" bestFit="1" customWidth="1"/>
    <col min="11" max="11" width="16.7109375" style="25" bestFit="1" customWidth="1"/>
    <col min="12" max="16384" width="9.140625" style="6"/>
  </cols>
  <sheetData>
    <row r="2" spans="2:14">
      <c r="C2" s="10" t="s">
        <v>38</v>
      </c>
      <c r="D2" s="10" t="s">
        <v>39</v>
      </c>
      <c r="E2" s="11" t="s">
        <v>40</v>
      </c>
      <c r="F2" s="11" t="s">
        <v>41</v>
      </c>
      <c r="G2" s="11" t="s">
        <v>42</v>
      </c>
      <c r="H2" s="11" t="s">
        <v>43</v>
      </c>
      <c r="I2" s="11" t="s">
        <v>44</v>
      </c>
      <c r="J2" s="12" t="s">
        <v>45</v>
      </c>
      <c r="K2" s="11" t="s">
        <v>46</v>
      </c>
    </row>
    <row r="3" spans="2:14">
      <c r="B3" s="5">
        <v>1</v>
      </c>
      <c r="C3" s="13" t="s">
        <v>47</v>
      </c>
      <c r="D3" s="13" t="s">
        <v>48</v>
      </c>
      <c r="E3" s="14" t="s">
        <v>49</v>
      </c>
      <c r="F3" s="14"/>
      <c r="G3" s="14"/>
      <c r="H3" s="14" t="s">
        <v>50</v>
      </c>
      <c r="I3" s="14" t="s">
        <v>3</v>
      </c>
      <c r="J3" s="15" t="s">
        <v>51</v>
      </c>
      <c r="K3" s="16" t="s">
        <v>52</v>
      </c>
    </row>
    <row r="4" spans="2:14">
      <c r="B4" s="5">
        <f t="shared" ref="B4:B35" si="0">B3+1</f>
        <v>2</v>
      </c>
      <c r="C4" s="13" t="s">
        <v>53</v>
      </c>
      <c r="D4" s="13" t="s">
        <v>48</v>
      </c>
      <c r="E4" s="14" t="s">
        <v>49</v>
      </c>
      <c r="F4" s="14"/>
      <c r="G4" s="14"/>
      <c r="H4" s="14" t="s">
        <v>50</v>
      </c>
      <c r="I4" s="14" t="s">
        <v>3</v>
      </c>
      <c r="J4" s="15" t="s">
        <v>51</v>
      </c>
      <c r="K4" s="16" t="s">
        <v>52</v>
      </c>
    </row>
    <row r="5" spans="2:14">
      <c r="B5" s="5">
        <f t="shared" si="0"/>
        <v>3</v>
      </c>
      <c r="C5" s="17" t="s">
        <v>54</v>
      </c>
      <c r="D5" s="17">
        <v>1</v>
      </c>
      <c r="E5" s="18" t="s">
        <v>55</v>
      </c>
      <c r="F5" s="18"/>
      <c r="G5" s="18"/>
      <c r="H5" s="18" t="s">
        <v>50</v>
      </c>
      <c r="I5" s="18" t="s">
        <v>3</v>
      </c>
      <c r="J5" s="19" t="s">
        <v>51</v>
      </c>
      <c r="K5" s="16" t="s">
        <v>52</v>
      </c>
    </row>
    <row r="6" spans="2:14">
      <c r="B6" s="5">
        <f t="shared" si="0"/>
        <v>4</v>
      </c>
      <c r="C6" s="13" t="s">
        <v>56</v>
      </c>
      <c r="D6" s="13">
        <v>1</v>
      </c>
      <c r="E6" s="14" t="s">
        <v>57</v>
      </c>
      <c r="F6" s="14"/>
      <c r="G6" s="14"/>
      <c r="H6" s="14" t="s">
        <v>50</v>
      </c>
      <c r="I6" s="14" t="s">
        <v>3</v>
      </c>
      <c r="J6" s="15" t="s">
        <v>51</v>
      </c>
      <c r="K6" s="16" t="s">
        <v>52</v>
      </c>
    </row>
    <row r="7" spans="2:14">
      <c r="B7" s="5">
        <f t="shared" si="0"/>
        <v>5</v>
      </c>
      <c r="C7" s="13" t="s">
        <v>58</v>
      </c>
      <c r="D7" s="13">
        <v>1</v>
      </c>
      <c r="E7" s="14" t="s">
        <v>57</v>
      </c>
      <c r="F7" s="14"/>
      <c r="G7" s="14"/>
      <c r="H7" s="14" t="s">
        <v>50</v>
      </c>
      <c r="I7" s="14" t="s">
        <v>3</v>
      </c>
      <c r="J7" s="15" t="s">
        <v>51</v>
      </c>
      <c r="K7" s="16" t="s">
        <v>52</v>
      </c>
    </row>
    <row r="8" spans="2:14">
      <c r="B8" s="5">
        <f t="shared" si="0"/>
        <v>6</v>
      </c>
      <c r="C8" s="13" t="s">
        <v>59</v>
      </c>
      <c r="D8" s="13">
        <v>1</v>
      </c>
      <c r="E8" s="14" t="s">
        <v>57</v>
      </c>
      <c r="F8" s="14"/>
      <c r="G8" s="14"/>
      <c r="H8" s="14" t="s">
        <v>50</v>
      </c>
      <c r="I8" s="14" t="s">
        <v>3</v>
      </c>
      <c r="J8" s="15" t="s">
        <v>51</v>
      </c>
      <c r="K8" s="16" t="s">
        <v>52</v>
      </c>
    </row>
    <row r="9" spans="2:14">
      <c r="B9" s="5">
        <f t="shared" si="0"/>
        <v>7</v>
      </c>
      <c r="C9" s="13" t="s">
        <v>60</v>
      </c>
      <c r="D9" s="55" t="s">
        <v>48</v>
      </c>
      <c r="E9" s="14" t="s">
        <v>57</v>
      </c>
      <c r="F9" s="14"/>
      <c r="G9" s="14"/>
      <c r="H9" s="14" t="s">
        <v>50</v>
      </c>
      <c r="I9" s="14" t="s">
        <v>3</v>
      </c>
      <c r="J9" s="15" t="s">
        <v>51</v>
      </c>
      <c r="K9" s="16" t="s">
        <v>52</v>
      </c>
    </row>
    <row r="10" spans="2:14">
      <c r="B10" s="5">
        <f t="shared" si="0"/>
        <v>8</v>
      </c>
      <c r="C10" s="13" t="s">
        <v>61</v>
      </c>
      <c r="D10" s="13" t="s">
        <v>62</v>
      </c>
      <c r="E10" s="14" t="s">
        <v>63</v>
      </c>
      <c r="F10" s="14"/>
      <c r="G10" s="14"/>
      <c r="H10" s="14" t="s">
        <v>50</v>
      </c>
      <c r="I10" s="14" t="s">
        <v>3</v>
      </c>
      <c r="J10" s="15" t="s">
        <v>51</v>
      </c>
      <c r="K10" s="16" t="s">
        <v>52</v>
      </c>
    </row>
    <row r="11" spans="2:14">
      <c r="B11" s="5">
        <f t="shared" si="0"/>
        <v>9</v>
      </c>
      <c r="C11" s="13" t="s">
        <v>64</v>
      </c>
      <c r="D11" s="13" t="s">
        <v>48</v>
      </c>
      <c r="E11" s="14" t="s">
        <v>63</v>
      </c>
      <c r="F11" s="14"/>
      <c r="G11" s="14"/>
      <c r="H11" s="14" t="s">
        <v>50</v>
      </c>
      <c r="I11" s="14" t="s">
        <v>3</v>
      </c>
      <c r="J11" s="15" t="s">
        <v>51</v>
      </c>
      <c r="K11" s="16" t="s">
        <v>52</v>
      </c>
    </row>
    <row r="12" spans="2:14">
      <c r="B12" s="5">
        <f t="shared" si="0"/>
        <v>10</v>
      </c>
      <c r="C12" s="13" t="s">
        <v>65</v>
      </c>
      <c r="D12" s="13">
        <v>1</v>
      </c>
      <c r="E12" s="14" t="s">
        <v>55</v>
      </c>
      <c r="F12" s="14"/>
      <c r="G12" s="14"/>
      <c r="H12" s="14" t="s">
        <v>50</v>
      </c>
      <c r="I12" s="14" t="s">
        <v>3</v>
      </c>
      <c r="J12" s="15" t="s">
        <v>51</v>
      </c>
      <c r="K12" s="16" t="s">
        <v>52</v>
      </c>
    </row>
    <row r="13" spans="2:14">
      <c r="B13" s="5">
        <f t="shared" si="0"/>
        <v>11</v>
      </c>
      <c r="C13" s="13" t="s">
        <v>66</v>
      </c>
      <c r="D13" s="13">
        <v>1</v>
      </c>
      <c r="E13" s="14" t="s">
        <v>55</v>
      </c>
      <c r="F13" s="14"/>
      <c r="G13" s="14"/>
      <c r="H13" s="14" t="s">
        <v>50</v>
      </c>
      <c r="I13" s="14" t="s">
        <v>3</v>
      </c>
      <c r="J13" s="15" t="s">
        <v>51</v>
      </c>
      <c r="K13" s="16" t="s">
        <v>52</v>
      </c>
    </row>
    <row r="14" spans="2:14">
      <c r="B14" s="5">
        <f t="shared" si="0"/>
        <v>12</v>
      </c>
      <c r="C14" s="13" t="s">
        <v>67</v>
      </c>
      <c r="D14" s="13">
        <v>1</v>
      </c>
      <c r="E14" s="14" t="s">
        <v>57</v>
      </c>
      <c r="F14" s="14"/>
      <c r="G14" s="14"/>
      <c r="H14" s="14" t="s">
        <v>50</v>
      </c>
      <c r="I14" s="14" t="s">
        <v>3</v>
      </c>
      <c r="J14" s="15" t="s">
        <v>51</v>
      </c>
      <c r="K14" s="16" t="s">
        <v>52</v>
      </c>
    </row>
    <row r="15" spans="2:14">
      <c r="B15" s="5">
        <f t="shared" si="0"/>
        <v>13</v>
      </c>
      <c r="C15" s="13" t="s">
        <v>68</v>
      </c>
      <c r="D15" s="13" t="s">
        <v>62</v>
      </c>
      <c r="E15" s="14" t="s">
        <v>57</v>
      </c>
      <c r="F15" s="14"/>
      <c r="G15" s="14"/>
      <c r="H15" s="14" t="s">
        <v>50</v>
      </c>
      <c r="I15" s="14" t="s">
        <v>3</v>
      </c>
      <c r="J15" s="15" t="s">
        <v>51</v>
      </c>
      <c r="K15" s="16" t="s">
        <v>52</v>
      </c>
    </row>
    <row r="16" spans="2:14">
      <c r="B16" s="5">
        <f t="shared" si="0"/>
        <v>14</v>
      </c>
      <c r="C16" s="13" t="s">
        <v>69</v>
      </c>
      <c r="D16" s="13" t="s">
        <v>48</v>
      </c>
      <c r="E16" s="14" t="s">
        <v>49</v>
      </c>
      <c r="F16" s="14"/>
      <c r="G16" s="14"/>
      <c r="H16" s="14" t="s">
        <v>50</v>
      </c>
      <c r="I16" s="14" t="s">
        <v>3</v>
      </c>
      <c r="J16" s="15" t="s">
        <v>51</v>
      </c>
      <c r="K16" s="16" t="s">
        <v>52</v>
      </c>
      <c r="L16" s="6">
        <f>COUNT(B3:B16)</f>
        <v>14</v>
      </c>
      <c r="N16" s="27">
        <f>L16/$M$36</f>
        <v>0.42424242424242425</v>
      </c>
    </row>
    <row r="17" spans="2:14">
      <c r="B17" s="5">
        <f t="shared" si="0"/>
        <v>15</v>
      </c>
      <c r="C17" s="20" t="s">
        <v>70</v>
      </c>
      <c r="D17" s="20" t="s">
        <v>48</v>
      </c>
      <c r="E17" s="21" t="s">
        <v>71</v>
      </c>
      <c r="F17" s="21" t="s">
        <v>72</v>
      </c>
      <c r="G17" s="21" t="s">
        <v>73</v>
      </c>
      <c r="H17" s="21" t="s">
        <v>74</v>
      </c>
      <c r="I17" s="21" t="s">
        <v>3</v>
      </c>
      <c r="J17" s="22" t="s">
        <v>75</v>
      </c>
      <c r="K17" s="23" t="s">
        <v>76</v>
      </c>
    </row>
    <row r="18" spans="2:14">
      <c r="B18" s="5">
        <f t="shared" si="0"/>
        <v>16</v>
      </c>
      <c r="C18" s="20" t="s">
        <v>77</v>
      </c>
      <c r="D18" s="20" t="s">
        <v>48</v>
      </c>
      <c r="E18" s="21" t="s">
        <v>71</v>
      </c>
      <c r="F18" s="21" t="s">
        <v>72</v>
      </c>
      <c r="G18" s="21" t="s">
        <v>73</v>
      </c>
      <c r="H18" s="21" t="s">
        <v>74</v>
      </c>
      <c r="I18" s="21" t="s">
        <v>3</v>
      </c>
      <c r="J18" s="22" t="s">
        <v>75</v>
      </c>
      <c r="K18" s="23" t="s">
        <v>76</v>
      </c>
    </row>
    <row r="19" spans="2:14">
      <c r="B19" s="5">
        <f t="shared" si="0"/>
        <v>17</v>
      </c>
      <c r="C19" s="20" t="s">
        <v>78</v>
      </c>
      <c r="D19" s="20" t="s">
        <v>48</v>
      </c>
      <c r="E19" s="21" t="s">
        <v>57</v>
      </c>
      <c r="F19" s="21" t="s">
        <v>79</v>
      </c>
      <c r="G19" s="21" t="s">
        <v>73</v>
      </c>
      <c r="H19" s="21" t="s">
        <v>74</v>
      </c>
      <c r="I19" s="21" t="s">
        <v>3</v>
      </c>
      <c r="J19" s="22" t="s">
        <v>75</v>
      </c>
      <c r="K19" s="23" t="s">
        <v>76</v>
      </c>
    </row>
    <row r="20" spans="2:14">
      <c r="B20" s="5">
        <f t="shared" si="0"/>
        <v>18</v>
      </c>
      <c r="C20" s="20" t="s">
        <v>80</v>
      </c>
      <c r="D20" s="20" t="s">
        <v>48</v>
      </c>
      <c r="E20" s="21" t="s">
        <v>57</v>
      </c>
      <c r="F20" s="21" t="s">
        <v>79</v>
      </c>
      <c r="G20" s="21" t="s">
        <v>73</v>
      </c>
      <c r="H20" s="21" t="s">
        <v>74</v>
      </c>
      <c r="I20" s="21" t="s">
        <v>3</v>
      </c>
      <c r="J20" s="22" t="s">
        <v>75</v>
      </c>
      <c r="K20" s="23" t="s">
        <v>76</v>
      </c>
    </row>
    <row r="21" spans="2:14">
      <c r="B21" s="5">
        <f t="shared" si="0"/>
        <v>19</v>
      </c>
      <c r="C21" s="20" t="s">
        <v>81</v>
      </c>
      <c r="D21" s="20" t="s">
        <v>48</v>
      </c>
      <c r="E21" s="21" t="s">
        <v>82</v>
      </c>
      <c r="F21" s="21" t="s">
        <v>79</v>
      </c>
      <c r="G21" s="21" t="s">
        <v>73</v>
      </c>
      <c r="H21" s="21" t="s">
        <v>74</v>
      </c>
      <c r="I21" s="21" t="s">
        <v>3</v>
      </c>
      <c r="J21" s="22" t="s">
        <v>75</v>
      </c>
      <c r="K21" s="23" t="s">
        <v>76</v>
      </c>
    </row>
    <row r="22" spans="2:14">
      <c r="B22" s="5">
        <f t="shared" si="0"/>
        <v>20</v>
      </c>
      <c r="C22" s="20" t="s">
        <v>83</v>
      </c>
      <c r="D22" s="20" t="s">
        <v>48</v>
      </c>
      <c r="E22" s="21" t="s">
        <v>82</v>
      </c>
      <c r="F22" s="21" t="s">
        <v>79</v>
      </c>
      <c r="G22" s="21" t="s">
        <v>73</v>
      </c>
      <c r="H22" s="21" t="s">
        <v>74</v>
      </c>
      <c r="I22" s="21" t="s">
        <v>3</v>
      </c>
      <c r="J22" s="22" t="s">
        <v>75</v>
      </c>
      <c r="K22" s="23" t="s">
        <v>76</v>
      </c>
    </row>
    <row r="23" spans="2:14">
      <c r="B23" s="5">
        <f t="shared" si="0"/>
        <v>21</v>
      </c>
      <c r="C23" s="20" t="s">
        <v>84</v>
      </c>
      <c r="D23" s="20" t="s">
        <v>48</v>
      </c>
      <c r="E23" s="21" t="s">
        <v>82</v>
      </c>
      <c r="F23" s="21" t="s">
        <v>79</v>
      </c>
      <c r="G23" s="21" t="s">
        <v>73</v>
      </c>
      <c r="H23" s="21" t="s">
        <v>74</v>
      </c>
      <c r="I23" s="21" t="s">
        <v>3</v>
      </c>
      <c r="J23" s="22" t="s">
        <v>75</v>
      </c>
      <c r="K23" s="23" t="s">
        <v>76</v>
      </c>
    </row>
    <row r="24" spans="2:14">
      <c r="B24" s="5">
        <f t="shared" si="0"/>
        <v>22</v>
      </c>
      <c r="C24" s="20" t="s">
        <v>85</v>
      </c>
      <c r="D24" s="20">
        <v>1</v>
      </c>
      <c r="E24" s="21" t="s">
        <v>82</v>
      </c>
      <c r="F24" s="21" t="s">
        <v>79</v>
      </c>
      <c r="G24" s="21" t="s">
        <v>73</v>
      </c>
      <c r="H24" s="21" t="s">
        <v>74</v>
      </c>
      <c r="I24" s="21" t="s">
        <v>3</v>
      </c>
      <c r="J24" s="22" t="s">
        <v>75</v>
      </c>
      <c r="K24" s="23" t="s">
        <v>76</v>
      </c>
      <c r="L24" s="6">
        <f>COUNT(B17:B24)</f>
        <v>8</v>
      </c>
      <c r="N24" s="27">
        <f>L24/$M$36</f>
        <v>0.24242424242424243</v>
      </c>
    </row>
    <row r="25" spans="2:14">
      <c r="B25" s="5">
        <f t="shared" si="0"/>
        <v>23</v>
      </c>
      <c r="C25" s="44" t="s">
        <v>86</v>
      </c>
      <c r="D25" s="44" t="s">
        <v>48</v>
      </c>
      <c r="E25" s="45" t="s">
        <v>82</v>
      </c>
      <c r="F25" s="45" t="s">
        <v>49</v>
      </c>
      <c r="G25" s="45" t="s">
        <v>87</v>
      </c>
      <c r="H25" s="45" t="s">
        <v>88</v>
      </c>
      <c r="I25" s="45" t="s">
        <v>89</v>
      </c>
      <c r="J25" s="46" t="s">
        <v>90</v>
      </c>
      <c r="K25" s="45" t="s">
        <v>76</v>
      </c>
    </row>
    <row r="26" spans="2:14">
      <c r="B26" s="5">
        <f t="shared" si="0"/>
        <v>24</v>
      </c>
      <c r="C26" s="47" t="s">
        <v>91</v>
      </c>
      <c r="D26" s="47" t="s">
        <v>48</v>
      </c>
      <c r="E26" s="48" t="s">
        <v>82</v>
      </c>
      <c r="F26" s="48"/>
      <c r="G26" s="45" t="s">
        <v>87</v>
      </c>
      <c r="H26" s="48" t="s">
        <v>88</v>
      </c>
      <c r="I26" s="48" t="s">
        <v>3</v>
      </c>
      <c r="J26" s="46" t="s">
        <v>90</v>
      </c>
      <c r="K26" s="45" t="s">
        <v>76</v>
      </c>
    </row>
    <row r="27" spans="2:14">
      <c r="B27" s="5">
        <f t="shared" si="0"/>
        <v>25</v>
      </c>
      <c r="C27" s="47" t="s">
        <v>92</v>
      </c>
      <c r="D27" s="47" t="s">
        <v>48</v>
      </c>
      <c r="E27" s="48" t="s">
        <v>49</v>
      </c>
      <c r="F27" s="48"/>
      <c r="G27" s="45" t="s">
        <v>87</v>
      </c>
      <c r="H27" s="48" t="s">
        <v>88</v>
      </c>
      <c r="I27" s="48" t="s">
        <v>3</v>
      </c>
      <c r="J27" s="46" t="s">
        <v>90</v>
      </c>
      <c r="K27" s="45" t="s">
        <v>76</v>
      </c>
    </row>
    <row r="28" spans="2:14">
      <c r="B28" s="5">
        <f t="shared" si="0"/>
        <v>26</v>
      </c>
      <c r="C28" s="47" t="s">
        <v>93</v>
      </c>
      <c r="D28" s="47" t="s">
        <v>48</v>
      </c>
      <c r="E28" s="48" t="s">
        <v>57</v>
      </c>
      <c r="F28" s="48"/>
      <c r="G28" s="45" t="s">
        <v>87</v>
      </c>
      <c r="H28" s="48" t="s">
        <v>88</v>
      </c>
      <c r="I28" s="48" t="s">
        <v>3</v>
      </c>
      <c r="J28" s="46" t="s">
        <v>90</v>
      </c>
      <c r="K28" s="45" t="s">
        <v>76</v>
      </c>
    </row>
    <row r="29" spans="2:14">
      <c r="B29" s="5">
        <f t="shared" si="0"/>
        <v>27</v>
      </c>
      <c r="C29" s="47" t="s">
        <v>94</v>
      </c>
      <c r="D29" s="47" t="s">
        <v>48</v>
      </c>
      <c r="E29" s="48" t="s">
        <v>95</v>
      </c>
      <c r="F29" s="48"/>
      <c r="G29" s="45" t="s">
        <v>87</v>
      </c>
      <c r="H29" s="48" t="s">
        <v>88</v>
      </c>
      <c r="I29" s="48" t="s">
        <v>3</v>
      </c>
      <c r="J29" s="46" t="s">
        <v>90</v>
      </c>
      <c r="K29" s="45" t="s">
        <v>76</v>
      </c>
    </row>
    <row r="30" spans="2:14">
      <c r="B30" s="5">
        <f t="shared" si="0"/>
        <v>28</v>
      </c>
      <c r="C30" s="47" t="s">
        <v>96</v>
      </c>
      <c r="D30" s="47" t="s">
        <v>48</v>
      </c>
      <c r="E30" s="48" t="s">
        <v>49</v>
      </c>
      <c r="F30" s="48"/>
      <c r="G30" s="45" t="s">
        <v>87</v>
      </c>
      <c r="H30" s="48" t="s">
        <v>88</v>
      </c>
      <c r="I30" s="48" t="s">
        <v>3</v>
      </c>
      <c r="J30" s="46" t="s">
        <v>90</v>
      </c>
      <c r="K30" s="45" t="s">
        <v>76</v>
      </c>
    </row>
    <row r="31" spans="2:14">
      <c r="B31" s="5">
        <f t="shared" si="0"/>
        <v>29</v>
      </c>
      <c r="C31" s="47" t="s">
        <v>97</v>
      </c>
      <c r="D31" s="47" t="s">
        <v>48</v>
      </c>
      <c r="E31" s="48" t="s">
        <v>82</v>
      </c>
      <c r="F31" s="48"/>
      <c r="G31" s="45" t="s">
        <v>87</v>
      </c>
      <c r="H31" s="48" t="s">
        <v>88</v>
      </c>
      <c r="I31" s="48" t="s">
        <v>3</v>
      </c>
      <c r="J31" s="46" t="s">
        <v>90</v>
      </c>
      <c r="K31" s="45" t="s">
        <v>76</v>
      </c>
    </row>
    <row r="32" spans="2:14">
      <c r="B32" s="5">
        <f t="shared" si="0"/>
        <v>30</v>
      </c>
      <c r="C32" s="47" t="s">
        <v>98</v>
      </c>
      <c r="D32" s="47" t="s">
        <v>48</v>
      </c>
      <c r="E32" s="48" t="s">
        <v>63</v>
      </c>
      <c r="F32" s="48"/>
      <c r="G32" s="45" t="s">
        <v>87</v>
      </c>
      <c r="H32" s="48" t="s">
        <v>88</v>
      </c>
      <c r="I32" s="48" t="s">
        <v>3</v>
      </c>
      <c r="J32" s="46" t="s">
        <v>90</v>
      </c>
      <c r="K32" s="45" t="s">
        <v>76</v>
      </c>
    </row>
    <row r="33" spans="2:16">
      <c r="B33" s="5">
        <f t="shared" si="0"/>
        <v>31</v>
      </c>
      <c r="C33" s="47" t="s">
        <v>99</v>
      </c>
      <c r="D33" s="47" t="s">
        <v>48</v>
      </c>
      <c r="E33" s="48" t="s">
        <v>49</v>
      </c>
      <c r="F33" s="48"/>
      <c r="G33" s="45" t="s">
        <v>87</v>
      </c>
      <c r="H33" s="48" t="s">
        <v>88</v>
      </c>
      <c r="I33" s="48" t="s">
        <v>3</v>
      </c>
      <c r="J33" s="46" t="s">
        <v>90</v>
      </c>
      <c r="K33" s="45" t="s">
        <v>76</v>
      </c>
    </row>
    <row r="34" spans="2:16">
      <c r="B34" s="5">
        <f t="shared" si="0"/>
        <v>32</v>
      </c>
      <c r="C34" s="47" t="s">
        <v>100</v>
      </c>
      <c r="D34" s="47" t="s">
        <v>62</v>
      </c>
      <c r="E34" s="48" t="s">
        <v>82</v>
      </c>
      <c r="F34" s="48"/>
      <c r="G34" s="45" t="s">
        <v>87</v>
      </c>
      <c r="H34" s="48" t="s">
        <v>88</v>
      </c>
      <c r="I34" s="48" t="s">
        <v>3</v>
      </c>
      <c r="J34" s="46" t="s">
        <v>90</v>
      </c>
      <c r="K34" s="45" t="s">
        <v>76</v>
      </c>
    </row>
    <row r="35" spans="2:16">
      <c r="B35" s="5">
        <f t="shared" si="0"/>
        <v>33</v>
      </c>
      <c r="C35" s="47" t="s">
        <v>101</v>
      </c>
      <c r="D35" s="47" t="s">
        <v>48</v>
      </c>
      <c r="E35" s="48" t="s">
        <v>82</v>
      </c>
      <c r="F35" s="48"/>
      <c r="G35" s="45" t="s">
        <v>87</v>
      </c>
      <c r="H35" s="48" t="s">
        <v>88</v>
      </c>
      <c r="I35" s="48" t="s">
        <v>3</v>
      </c>
      <c r="J35" s="46" t="s">
        <v>90</v>
      </c>
      <c r="K35" s="45" t="s">
        <v>76</v>
      </c>
      <c r="L35" s="6">
        <f>COUNT(B25:B35)</f>
        <v>11</v>
      </c>
      <c r="N35" s="27">
        <f>L35/M36</f>
        <v>0.33333333333333331</v>
      </c>
      <c r="P35" s="27">
        <f>O36/M36</f>
        <v>0.5757575757575758</v>
      </c>
    </row>
    <row r="36" spans="2:16">
      <c r="B36" s="139" t="s">
        <v>102</v>
      </c>
      <c r="C36" s="142"/>
      <c r="D36" s="142"/>
      <c r="E36" s="142"/>
      <c r="F36" s="142"/>
      <c r="G36" s="142"/>
      <c r="H36" s="142"/>
      <c r="I36" s="142"/>
      <c r="J36" s="142"/>
      <c r="K36" s="143"/>
      <c r="M36" s="6">
        <f>COUNT(B3:B35)</f>
        <v>33</v>
      </c>
      <c r="O36" s="6">
        <f>L35+L24</f>
        <v>19</v>
      </c>
    </row>
    <row r="37" spans="2:16">
      <c r="B37" s="5">
        <v>1</v>
      </c>
      <c r="C37" s="13" t="s">
        <v>103</v>
      </c>
      <c r="D37" s="13"/>
      <c r="E37" s="14" t="s">
        <v>55</v>
      </c>
      <c r="F37" s="14" t="s">
        <v>104</v>
      </c>
      <c r="G37" s="14"/>
      <c r="H37" s="14" t="s">
        <v>50</v>
      </c>
      <c r="I37" s="14" t="s">
        <v>105</v>
      </c>
      <c r="J37" s="15" t="s">
        <v>106</v>
      </c>
      <c r="K37" s="16" t="s">
        <v>107</v>
      </c>
    </row>
    <row r="38" spans="2:16">
      <c r="B38" s="5">
        <f>B37+1</f>
        <v>2</v>
      </c>
      <c r="C38" s="13" t="s">
        <v>108</v>
      </c>
      <c r="D38" s="13"/>
      <c r="E38" s="14" t="s">
        <v>55</v>
      </c>
      <c r="F38" s="14" t="s">
        <v>104</v>
      </c>
      <c r="G38" s="14"/>
      <c r="H38" s="14" t="s">
        <v>50</v>
      </c>
      <c r="I38" s="14" t="s">
        <v>109</v>
      </c>
      <c r="J38" s="15" t="s">
        <v>110</v>
      </c>
      <c r="K38" s="16" t="s">
        <v>107</v>
      </c>
    </row>
    <row r="39" spans="2:16">
      <c r="B39" s="5">
        <f t="shared" ref="B39:B45" si="1">B38+1</f>
        <v>3</v>
      </c>
      <c r="C39" s="13" t="s">
        <v>111</v>
      </c>
      <c r="D39" s="13"/>
      <c r="E39" s="14" t="s">
        <v>55</v>
      </c>
      <c r="F39" s="14" t="s">
        <v>104</v>
      </c>
      <c r="G39" s="14"/>
      <c r="H39" s="14" t="s">
        <v>50</v>
      </c>
      <c r="I39" s="14" t="s">
        <v>109</v>
      </c>
      <c r="J39" s="15" t="s">
        <v>110</v>
      </c>
      <c r="K39" s="16" t="s">
        <v>107</v>
      </c>
    </row>
    <row r="40" spans="2:16">
      <c r="B40" s="5">
        <f t="shared" si="1"/>
        <v>4</v>
      </c>
      <c r="C40" s="13" t="s">
        <v>112</v>
      </c>
      <c r="D40" s="13"/>
      <c r="E40" s="14" t="s">
        <v>55</v>
      </c>
      <c r="F40" s="14" t="s">
        <v>104</v>
      </c>
      <c r="G40" s="14"/>
      <c r="H40" s="14" t="s">
        <v>50</v>
      </c>
      <c r="I40" s="14" t="s">
        <v>109</v>
      </c>
      <c r="J40" s="15" t="s">
        <v>110</v>
      </c>
      <c r="K40" s="16" t="s">
        <v>107</v>
      </c>
    </row>
    <row r="41" spans="2:16">
      <c r="B41" s="5">
        <f t="shared" si="1"/>
        <v>5</v>
      </c>
      <c r="C41" s="13" t="s">
        <v>113</v>
      </c>
      <c r="D41" s="13"/>
      <c r="E41" s="14" t="s">
        <v>55</v>
      </c>
      <c r="F41" s="14" t="s">
        <v>104</v>
      </c>
      <c r="G41" s="14"/>
      <c r="H41" s="14" t="s">
        <v>50</v>
      </c>
      <c r="I41" s="14" t="s">
        <v>109</v>
      </c>
      <c r="J41" s="15" t="s">
        <v>110</v>
      </c>
      <c r="K41" s="16" t="s">
        <v>107</v>
      </c>
      <c r="M41" s="144" t="s">
        <v>114</v>
      </c>
      <c r="N41" s="144"/>
    </row>
    <row r="42" spans="2:16">
      <c r="B42" s="5">
        <f t="shared" si="1"/>
        <v>6</v>
      </c>
      <c r="C42" s="13" t="s">
        <v>115</v>
      </c>
      <c r="D42" s="13"/>
      <c r="E42" s="14" t="s">
        <v>55</v>
      </c>
      <c r="F42" s="14" t="s">
        <v>104</v>
      </c>
      <c r="G42" s="14"/>
      <c r="H42" s="14" t="s">
        <v>50</v>
      </c>
      <c r="I42" s="14" t="s">
        <v>109</v>
      </c>
      <c r="J42" s="15" t="s">
        <v>110</v>
      </c>
      <c r="K42" s="16" t="s">
        <v>107</v>
      </c>
      <c r="M42" s="6">
        <f>COUNT(D3:D35)</f>
        <v>8</v>
      </c>
    </row>
    <row r="43" spans="2:16">
      <c r="B43" s="5">
        <f t="shared" si="1"/>
        <v>7</v>
      </c>
      <c r="C43" s="13" t="s">
        <v>116</v>
      </c>
      <c r="D43" s="13"/>
      <c r="E43" s="14" t="s">
        <v>63</v>
      </c>
      <c r="F43" s="14" t="s">
        <v>117</v>
      </c>
      <c r="G43" s="14"/>
      <c r="H43" s="14"/>
      <c r="I43" s="14" t="s">
        <v>105</v>
      </c>
      <c r="J43" s="15" t="s">
        <v>106</v>
      </c>
      <c r="K43" s="16" t="s">
        <v>117</v>
      </c>
    </row>
    <row r="44" spans="2:16">
      <c r="B44" s="5">
        <f t="shared" si="1"/>
        <v>8</v>
      </c>
      <c r="C44" s="13" t="s">
        <v>118</v>
      </c>
      <c r="D44" s="13"/>
      <c r="E44" s="14" t="s">
        <v>63</v>
      </c>
      <c r="F44" s="14" t="s">
        <v>117</v>
      </c>
      <c r="G44" s="14"/>
      <c r="H44" s="14"/>
      <c r="I44" s="14" t="s">
        <v>119</v>
      </c>
      <c r="J44" s="15" t="s">
        <v>120</v>
      </c>
      <c r="K44" s="16" t="s">
        <v>117</v>
      </c>
      <c r="M44" s="144" t="s">
        <v>121</v>
      </c>
      <c r="N44" s="144"/>
    </row>
    <row r="45" spans="2:16">
      <c r="B45" s="5">
        <f t="shared" si="1"/>
        <v>9</v>
      </c>
      <c r="C45" s="13" t="s">
        <v>122</v>
      </c>
      <c r="D45" s="13"/>
      <c r="E45" s="14" t="s">
        <v>63</v>
      </c>
      <c r="F45" s="14" t="s">
        <v>117</v>
      </c>
      <c r="G45" s="14"/>
      <c r="H45" s="14"/>
      <c r="I45" s="14" t="s">
        <v>123</v>
      </c>
      <c r="J45" s="15" t="s">
        <v>124</v>
      </c>
      <c r="K45" s="16" t="s">
        <v>117</v>
      </c>
      <c r="M45" s="6">
        <v>3</v>
      </c>
    </row>
    <row r="46" spans="2:16">
      <c r="B46" s="51">
        <v>10</v>
      </c>
      <c r="C46" s="52" t="s">
        <v>125</v>
      </c>
      <c r="D46" s="52"/>
      <c r="E46" s="50" t="s">
        <v>63</v>
      </c>
      <c r="F46" s="50" t="s">
        <v>126</v>
      </c>
      <c r="G46" s="50"/>
      <c r="H46" s="50" t="s">
        <v>88</v>
      </c>
      <c r="I46" s="50" t="s">
        <v>127</v>
      </c>
      <c r="J46" s="50" t="s">
        <v>90</v>
      </c>
      <c r="K46" s="50" t="s">
        <v>128</v>
      </c>
    </row>
    <row r="47" spans="2:16">
      <c r="B47" s="139" t="s">
        <v>129</v>
      </c>
      <c r="C47" s="140"/>
      <c r="D47" s="140"/>
      <c r="E47" s="140"/>
      <c r="F47" s="140"/>
      <c r="G47" s="140"/>
      <c r="H47" s="140"/>
      <c r="I47" s="140"/>
      <c r="J47" s="140"/>
      <c r="K47" s="141"/>
    </row>
    <row r="48" spans="2:16">
      <c r="B48" s="5">
        <v>1</v>
      </c>
      <c r="C48" s="20" t="s">
        <v>130</v>
      </c>
      <c r="D48" s="20"/>
      <c r="E48" s="23" t="s">
        <v>63</v>
      </c>
      <c r="F48" s="23"/>
      <c r="G48" s="23"/>
      <c r="H48" s="23" t="s">
        <v>50</v>
      </c>
      <c r="I48" s="23" t="s">
        <v>131</v>
      </c>
      <c r="J48" s="39" t="s">
        <v>132</v>
      </c>
      <c r="K48" s="23" t="s">
        <v>133</v>
      </c>
    </row>
    <row r="49" spans="2:11">
      <c r="B49" s="5">
        <f t="shared" ref="B49:B57" si="2">B48+1</f>
        <v>2</v>
      </c>
      <c r="C49" s="36" t="s">
        <v>134</v>
      </c>
      <c r="D49" s="36"/>
      <c r="E49" s="37" t="s">
        <v>135</v>
      </c>
      <c r="F49" s="37"/>
      <c r="G49" s="37"/>
      <c r="H49" s="37" t="s">
        <v>50</v>
      </c>
      <c r="I49" s="37" t="s">
        <v>136</v>
      </c>
      <c r="J49" s="38" t="s">
        <v>3</v>
      </c>
      <c r="K49" s="37" t="s">
        <v>137</v>
      </c>
    </row>
    <row r="50" spans="2:11">
      <c r="B50" s="5">
        <f t="shared" si="2"/>
        <v>3</v>
      </c>
      <c r="C50" s="33" t="s">
        <v>138</v>
      </c>
      <c r="D50" s="33"/>
      <c r="E50" s="34" t="s">
        <v>139</v>
      </c>
      <c r="F50" s="34"/>
      <c r="G50" s="34"/>
      <c r="H50" s="34" t="s">
        <v>50</v>
      </c>
      <c r="I50" s="34" t="s">
        <v>140</v>
      </c>
      <c r="J50" s="35" t="s">
        <v>3</v>
      </c>
      <c r="K50" s="34" t="s">
        <v>141</v>
      </c>
    </row>
    <row r="51" spans="2:11" ht="22.5">
      <c r="B51" s="5">
        <f t="shared" si="2"/>
        <v>4</v>
      </c>
      <c r="C51" s="28" t="s">
        <v>142</v>
      </c>
      <c r="D51" s="28"/>
      <c r="E51" s="29" t="s">
        <v>49</v>
      </c>
      <c r="F51" s="29"/>
      <c r="G51" s="29"/>
      <c r="H51" s="29" t="s">
        <v>88</v>
      </c>
      <c r="I51" s="7" t="s">
        <v>143</v>
      </c>
      <c r="J51" s="8" t="s">
        <v>144</v>
      </c>
      <c r="K51" s="29" t="s">
        <v>145</v>
      </c>
    </row>
    <row r="52" spans="2:11">
      <c r="B52" s="5">
        <f t="shared" si="2"/>
        <v>5</v>
      </c>
      <c r="C52" s="40" t="s">
        <v>146</v>
      </c>
      <c r="D52" s="40"/>
      <c r="E52" s="41" t="s">
        <v>63</v>
      </c>
      <c r="F52" s="41"/>
      <c r="G52" s="41"/>
      <c r="H52" s="41" t="s">
        <v>50</v>
      </c>
      <c r="I52" s="41" t="s">
        <v>131</v>
      </c>
      <c r="J52" s="42" t="s">
        <v>147</v>
      </c>
      <c r="K52" s="43" t="s">
        <v>148</v>
      </c>
    </row>
    <row r="53" spans="2:11">
      <c r="B53" s="5">
        <f t="shared" si="2"/>
        <v>6</v>
      </c>
      <c r="C53" s="30" t="s">
        <v>149</v>
      </c>
      <c r="D53" s="30"/>
      <c r="E53" s="31" t="s">
        <v>63</v>
      </c>
      <c r="F53" s="31"/>
      <c r="G53" s="31"/>
      <c r="H53" s="31" t="s">
        <v>150</v>
      </c>
      <c r="I53" s="31" t="s">
        <v>151</v>
      </c>
      <c r="J53" s="32" t="s">
        <v>152</v>
      </c>
      <c r="K53" s="32" t="s">
        <v>133</v>
      </c>
    </row>
    <row r="54" spans="2:11">
      <c r="B54" s="5">
        <f t="shared" si="2"/>
        <v>7</v>
      </c>
      <c r="C54" s="30" t="s">
        <v>153</v>
      </c>
      <c r="D54" s="30"/>
      <c r="E54" s="31" t="s">
        <v>49</v>
      </c>
      <c r="F54" s="31" t="s">
        <v>72</v>
      </c>
      <c r="G54" s="31"/>
      <c r="H54" s="31" t="s">
        <v>50</v>
      </c>
      <c r="I54" s="31" t="s">
        <v>151</v>
      </c>
      <c r="J54" s="32" t="s">
        <v>152</v>
      </c>
      <c r="K54" s="32" t="s">
        <v>154</v>
      </c>
    </row>
    <row r="55" spans="2:11">
      <c r="B55" s="5">
        <f t="shared" si="2"/>
        <v>8</v>
      </c>
      <c r="C55" s="30" t="s">
        <v>155</v>
      </c>
      <c r="D55" s="30"/>
      <c r="E55" s="31" t="s">
        <v>72</v>
      </c>
      <c r="F55" s="31"/>
      <c r="G55" s="31"/>
      <c r="H55" s="31" t="s">
        <v>150</v>
      </c>
      <c r="I55" s="31" t="s">
        <v>151</v>
      </c>
      <c r="J55" s="32" t="s">
        <v>152</v>
      </c>
      <c r="K55" s="32" t="s">
        <v>154</v>
      </c>
    </row>
    <row r="56" spans="2:11">
      <c r="B56" s="5">
        <f t="shared" si="2"/>
        <v>9</v>
      </c>
      <c r="C56" s="30" t="s">
        <v>156</v>
      </c>
      <c r="D56" s="30"/>
      <c r="E56" s="31" t="s">
        <v>72</v>
      </c>
      <c r="F56" s="31"/>
      <c r="G56" s="31"/>
      <c r="H56" s="31" t="s">
        <v>157</v>
      </c>
      <c r="I56" s="31" t="s">
        <v>151</v>
      </c>
      <c r="J56" s="32" t="s">
        <v>152</v>
      </c>
      <c r="K56" s="32" t="s">
        <v>154</v>
      </c>
    </row>
    <row r="57" spans="2:11">
      <c r="B57" s="5">
        <f t="shared" si="2"/>
        <v>10</v>
      </c>
      <c r="C57" s="30" t="s">
        <v>158</v>
      </c>
      <c r="D57" s="30"/>
      <c r="E57" s="31" t="s">
        <v>72</v>
      </c>
      <c r="F57" s="31"/>
      <c r="G57" s="31"/>
      <c r="H57" s="31" t="s">
        <v>150</v>
      </c>
      <c r="I57" s="31" t="s">
        <v>151</v>
      </c>
      <c r="J57" s="32" t="s">
        <v>152</v>
      </c>
      <c r="K57" s="32" t="s">
        <v>154</v>
      </c>
    </row>
    <row r="58" spans="2:11">
      <c r="C58" s="24" t="s">
        <v>159</v>
      </c>
      <c r="D58" s="24"/>
    </row>
    <row r="59" spans="2:11">
      <c r="B59" s="139" t="s">
        <v>160</v>
      </c>
      <c r="C59" s="140"/>
      <c r="D59" s="140"/>
      <c r="E59" s="140"/>
      <c r="F59" s="140"/>
      <c r="G59" s="140"/>
      <c r="H59" s="140"/>
      <c r="I59" s="140"/>
      <c r="J59" s="140"/>
      <c r="K59" s="141"/>
    </row>
    <row r="60" spans="2:11">
      <c r="B60" s="5">
        <v>1</v>
      </c>
      <c r="C60" s="20" t="s">
        <v>161</v>
      </c>
      <c r="D60" s="20"/>
      <c r="E60" s="23" t="s">
        <v>63</v>
      </c>
      <c r="F60" s="23"/>
      <c r="G60" s="23"/>
      <c r="H60" s="23" t="s">
        <v>88</v>
      </c>
      <c r="I60" s="23" t="s">
        <v>162</v>
      </c>
      <c r="J60" s="39" t="s">
        <v>90</v>
      </c>
      <c r="K60" s="23" t="s">
        <v>163</v>
      </c>
    </row>
    <row r="61" spans="2:11">
      <c r="B61" s="5">
        <f t="shared" ref="B61:B63" si="3">B60+1</f>
        <v>2</v>
      </c>
      <c r="C61" s="20" t="s">
        <v>164</v>
      </c>
      <c r="D61" s="20"/>
      <c r="E61" s="23" t="s">
        <v>63</v>
      </c>
      <c r="F61" s="23"/>
      <c r="G61" s="23"/>
      <c r="H61" s="23" t="s">
        <v>88</v>
      </c>
      <c r="I61" s="23" t="s">
        <v>165</v>
      </c>
      <c r="J61" s="39" t="s">
        <v>90</v>
      </c>
      <c r="K61" s="23" t="s">
        <v>166</v>
      </c>
    </row>
    <row r="62" spans="2:11">
      <c r="B62" s="5">
        <f t="shared" si="3"/>
        <v>3</v>
      </c>
      <c r="C62" s="20" t="s">
        <v>167</v>
      </c>
      <c r="D62" s="20"/>
      <c r="E62" s="23" t="s">
        <v>63</v>
      </c>
      <c r="F62" s="23"/>
      <c r="G62" s="23"/>
      <c r="H62" s="23" t="s">
        <v>88</v>
      </c>
      <c r="I62" s="23" t="s">
        <v>168</v>
      </c>
      <c r="J62" s="39" t="s">
        <v>90</v>
      </c>
      <c r="K62" s="23" t="s">
        <v>166</v>
      </c>
    </row>
    <row r="63" spans="2:11">
      <c r="B63" s="5">
        <f t="shared" si="3"/>
        <v>4</v>
      </c>
      <c r="C63" s="81" t="s">
        <v>169</v>
      </c>
      <c r="D63" s="81"/>
      <c r="E63" s="82" t="s">
        <v>63</v>
      </c>
      <c r="F63" s="82"/>
      <c r="G63" s="82"/>
      <c r="H63" s="82" t="s">
        <v>88</v>
      </c>
      <c r="I63" s="23" t="s">
        <v>170</v>
      </c>
      <c r="J63" s="39" t="s">
        <v>90</v>
      </c>
      <c r="K63" s="23" t="s">
        <v>166</v>
      </c>
    </row>
    <row r="64" spans="2:11">
      <c r="C64" s="26" t="s">
        <v>171</v>
      </c>
    </row>
    <row r="65" spans="3:3">
      <c r="C65" s="26" t="s">
        <v>172</v>
      </c>
    </row>
  </sheetData>
  <mergeCells count="5">
    <mergeCell ref="B47:K47"/>
    <mergeCell ref="B36:K36"/>
    <mergeCell ref="M41:N41"/>
    <mergeCell ref="M44:N44"/>
    <mergeCell ref="B59:K59"/>
  </mergeCells>
  <hyperlinks>
    <hyperlink ref="I54" r:id="rId1" tooltip="Ping Identity" display="https://en.wikipedia.org/wiki/Ping_Identity" xr:uid="{D5019A09-150B-4D62-AA63-F63E4EC34864}"/>
    <hyperlink ref="I56" r:id="rId2" tooltip="Nomura Research Institute" display="https://en.wikipedia.org/wiki/Nomura_Research_Institute" xr:uid="{884FE011-ED2C-4CEB-816F-11A52228A82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47EA9-1AF5-4097-B47D-D2EA4F945C8D}">
  <dimension ref="B2:Q59"/>
  <sheetViews>
    <sheetView topLeftCell="A11" workbookViewId="0">
      <selection activeCell="M27" sqref="M27:M33"/>
    </sheetView>
  </sheetViews>
  <sheetFormatPr defaultColWidth="9.140625" defaultRowHeight="11.25"/>
  <cols>
    <col min="1" max="1" width="9.140625" style="6"/>
    <col min="2" max="2" width="9.140625" style="9"/>
    <col min="3" max="3" width="49.42578125" style="26" customWidth="1"/>
    <col min="4" max="4" width="19.42578125" style="26" bestFit="1" customWidth="1"/>
    <col min="5" max="6" width="9.5703125" style="56" bestFit="1" customWidth="1"/>
    <col min="7" max="7" width="10.140625" style="56" bestFit="1" customWidth="1"/>
    <col min="8" max="8" width="7.42578125" style="6" bestFit="1" customWidth="1"/>
    <col min="9" max="9" width="5.140625" style="6" bestFit="1" customWidth="1"/>
    <col min="10" max="10" width="19.42578125" style="6" bestFit="1" customWidth="1"/>
    <col min="11" max="11" width="21.5703125" style="6" bestFit="1" customWidth="1"/>
    <col min="12" max="12" width="22.5703125" style="6" bestFit="1" customWidth="1"/>
    <col min="13" max="13" width="19.28515625" style="6" customWidth="1"/>
    <col min="14" max="14" width="16.7109375" style="25" bestFit="1" customWidth="1"/>
    <col min="15" max="16384" width="9.140625" style="6"/>
  </cols>
  <sheetData>
    <row r="2" spans="2:14">
      <c r="C2" s="10" t="s">
        <v>38</v>
      </c>
      <c r="D2" s="66" t="s">
        <v>173</v>
      </c>
      <c r="E2" s="66" t="s">
        <v>174</v>
      </c>
      <c r="F2" s="66" t="s">
        <v>175</v>
      </c>
      <c r="G2" s="66" t="s">
        <v>176</v>
      </c>
      <c r="H2" s="66" t="s">
        <v>40</v>
      </c>
      <c r="I2" s="66" t="s">
        <v>41</v>
      </c>
      <c r="J2" s="66" t="s">
        <v>42</v>
      </c>
      <c r="K2" s="66" t="s">
        <v>43</v>
      </c>
      <c r="L2" s="66" t="s">
        <v>44</v>
      </c>
      <c r="M2" s="66" t="s">
        <v>45</v>
      </c>
      <c r="N2" s="66" t="s">
        <v>46</v>
      </c>
    </row>
    <row r="3" spans="2:14" ht="15.75">
      <c r="B3" s="5">
        <v>1</v>
      </c>
      <c r="C3" s="77" t="s">
        <v>177</v>
      </c>
      <c r="D3" s="67" t="s">
        <v>178</v>
      </c>
      <c r="E3" s="68">
        <v>1</v>
      </c>
      <c r="F3" s="68">
        <v>1</v>
      </c>
      <c r="G3" s="68"/>
      <c r="H3" s="68" t="s">
        <v>55</v>
      </c>
      <c r="I3" s="68"/>
      <c r="J3" s="68"/>
      <c r="K3" s="67"/>
      <c r="L3" s="69" t="s">
        <v>3</v>
      </c>
      <c r="M3" s="69" t="s">
        <v>51</v>
      </c>
      <c r="N3" s="70" t="s">
        <v>179</v>
      </c>
    </row>
    <row r="4" spans="2:14" ht="15.75">
      <c r="B4" s="5">
        <f t="shared" ref="B4:B33" si="0">B3+1</f>
        <v>2</v>
      </c>
      <c r="C4" s="77" t="s">
        <v>180</v>
      </c>
      <c r="D4" s="67" t="s">
        <v>181</v>
      </c>
      <c r="E4" s="68">
        <v>1</v>
      </c>
      <c r="F4" s="68">
        <v>1</v>
      </c>
      <c r="G4" s="68"/>
      <c r="H4" s="68" t="s">
        <v>55</v>
      </c>
      <c r="I4" s="68"/>
      <c r="J4" s="68"/>
      <c r="K4" s="67"/>
      <c r="L4" s="68" t="s">
        <v>3</v>
      </c>
      <c r="M4" s="68" t="s">
        <v>51</v>
      </c>
      <c r="N4" s="70" t="s">
        <v>179</v>
      </c>
    </row>
    <row r="5" spans="2:14" ht="15.75">
      <c r="B5" s="5">
        <f t="shared" si="0"/>
        <v>3</v>
      </c>
      <c r="C5" s="77" t="s">
        <v>182</v>
      </c>
      <c r="D5" s="67" t="s">
        <v>183</v>
      </c>
      <c r="E5" s="68">
        <v>1</v>
      </c>
      <c r="F5" s="68">
        <v>1</v>
      </c>
      <c r="G5" s="68"/>
      <c r="H5" s="68" t="s">
        <v>184</v>
      </c>
      <c r="I5" s="68"/>
      <c r="J5" s="68"/>
      <c r="K5" s="67"/>
      <c r="L5" s="68" t="s">
        <v>3</v>
      </c>
      <c r="M5" s="68" t="s">
        <v>51</v>
      </c>
      <c r="N5" s="70" t="s">
        <v>179</v>
      </c>
    </row>
    <row r="6" spans="2:14" ht="15.75">
      <c r="B6" s="5">
        <f t="shared" si="0"/>
        <v>4</v>
      </c>
      <c r="C6" s="77" t="s">
        <v>185</v>
      </c>
      <c r="D6" s="67" t="s">
        <v>186</v>
      </c>
      <c r="E6" s="68">
        <v>1</v>
      </c>
      <c r="F6" s="68">
        <v>1</v>
      </c>
      <c r="G6" s="68"/>
      <c r="H6" s="68" t="s">
        <v>55</v>
      </c>
      <c r="I6" s="68"/>
      <c r="J6" s="68"/>
      <c r="K6" s="67"/>
      <c r="L6" s="68" t="s">
        <v>3</v>
      </c>
      <c r="M6" s="68" t="s">
        <v>51</v>
      </c>
      <c r="N6" s="70" t="s">
        <v>179</v>
      </c>
    </row>
    <row r="7" spans="2:14" ht="15.75">
      <c r="B7" s="5">
        <f t="shared" si="0"/>
        <v>5</v>
      </c>
      <c r="C7" s="77" t="s">
        <v>187</v>
      </c>
      <c r="D7" s="67" t="s">
        <v>188</v>
      </c>
      <c r="E7" s="68">
        <v>1</v>
      </c>
      <c r="F7" s="68">
        <v>1</v>
      </c>
      <c r="G7" s="68"/>
      <c r="H7" s="68" t="s">
        <v>55</v>
      </c>
      <c r="I7" s="68"/>
      <c r="J7" s="68"/>
      <c r="K7" s="67"/>
      <c r="L7" s="68" t="s">
        <v>3</v>
      </c>
      <c r="M7" s="68" t="s">
        <v>51</v>
      </c>
      <c r="N7" s="70" t="s">
        <v>179</v>
      </c>
    </row>
    <row r="8" spans="2:14" ht="15.75">
      <c r="B8" s="5">
        <f t="shared" si="0"/>
        <v>6</v>
      </c>
      <c r="C8" s="77" t="s">
        <v>189</v>
      </c>
      <c r="D8" s="67" t="s">
        <v>190</v>
      </c>
      <c r="E8" s="68">
        <v>1</v>
      </c>
      <c r="F8" s="68">
        <v>1</v>
      </c>
      <c r="G8" s="68"/>
      <c r="H8" s="68" t="s">
        <v>55</v>
      </c>
      <c r="I8" s="68"/>
      <c r="J8" s="68"/>
      <c r="K8" s="67"/>
      <c r="L8" s="68" t="s">
        <v>3</v>
      </c>
      <c r="M8" s="68" t="s">
        <v>51</v>
      </c>
      <c r="N8" s="70" t="s">
        <v>179</v>
      </c>
    </row>
    <row r="9" spans="2:14" ht="15.75">
      <c r="B9" s="5">
        <f t="shared" si="0"/>
        <v>7</v>
      </c>
      <c r="C9" s="77" t="s">
        <v>191</v>
      </c>
      <c r="D9" s="67" t="s">
        <v>192</v>
      </c>
      <c r="E9" s="68" t="s">
        <v>48</v>
      </c>
      <c r="F9" s="68" t="s">
        <v>193</v>
      </c>
      <c r="G9" s="68">
        <v>1</v>
      </c>
      <c r="H9" s="68" t="s">
        <v>194</v>
      </c>
      <c r="I9" s="68"/>
      <c r="J9" s="68"/>
      <c r="K9" s="67"/>
      <c r="L9" s="68" t="s">
        <v>3</v>
      </c>
      <c r="M9" s="68" t="s">
        <v>51</v>
      </c>
      <c r="N9" s="70" t="s">
        <v>179</v>
      </c>
    </row>
    <row r="10" spans="2:14" ht="15.75">
      <c r="B10" s="5">
        <f t="shared" si="0"/>
        <v>8</v>
      </c>
      <c r="C10" s="77" t="s">
        <v>195</v>
      </c>
      <c r="D10" s="67" t="s">
        <v>196</v>
      </c>
      <c r="E10" s="68" t="s">
        <v>48</v>
      </c>
      <c r="F10" s="68" t="s">
        <v>48</v>
      </c>
      <c r="G10" s="68">
        <v>1</v>
      </c>
      <c r="H10" s="68" t="s">
        <v>55</v>
      </c>
      <c r="I10" s="68"/>
      <c r="J10" s="68"/>
      <c r="K10" s="67"/>
      <c r="L10" s="68" t="s">
        <v>3</v>
      </c>
      <c r="M10" s="68" t="s">
        <v>51</v>
      </c>
      <c r="N10" s="70" t="s">
        <v>179</v>
      </c>
    </row>
    <row r="11" spans="2:14" ht="15.75">
      <c r="B11" s="5">
        <f>B20+1</f>
        <v>10</v>
      </c>
      <c r="C11" s="77" t="s">
        <v>197</v>
      </c>
      <c r="D11" s="67" t="s">
        <v>198</v>
      </c>
      <c r="E11" s="68" t="s">
        <v>48</v>
      </c>
      <c r="F11" s="68">
        <v>1</v>
      </c>
      <c r="G11" s="68"/>
      <c r="H11" s="68" t="s">
        <v>55</v>
      </c>
      <c r="I11" s="68"/>
      <c r="J11" s="68"/>
      <c r="K11" s="67"/>
      <c r="L11" s="68" t="s">
        <v>3</v>
      </c>
      <c r="M11" s="68" t="s">
        <v>51</v>
      </c>
      <c r="N11" s="70" t="s">
        <v>179</v>
      </c>
    </row>
    <row r="12" spans="2:14" ht="15.75">
      <c r="B12" s="5">
        <f t="shared" si="0"/>
        <v>11</v>
      </c>
      <c r="C12" s="77" t="s">
        <v>199</v>
      </c>
      <c r="D12" s="67" t="s">
        <v>200</v>
      </c>
      <c r="E12" s="68" t="s">
        <v>48</v>
      </c>
      <c r="F12" s="68">
        <v>1</v>
      </c>
      <c r="G12" s="68"/>
      <c r="H12" s="68" t="s">
        <v>194</v>
      </c>
      <c r="I12" s="68"/>
      <c r="J12" s="68"/>
      <c r="K12" s="67"/>
      <c r="L12" s="69" t="s">
        <v>3</v>
      </c>
      <c r="M12" s="69" t="s">
        <v>51</v>
      </c>
      <c r="N12" s="70" t="s">
        <v>179</v>
      </c>
    </row>
    <row r="13" spans="2:14" ht="15.75">
      <c r="B13" s="5">
        <f t="shared" si="0"/>
        <v>12</v>
      </c>
      <c r="C13" s="77" t="s">
        <v>201</v>
      </c>
      <c r="D13" s="67" t="s">
        <v>202</v>
      </c>
      <c r="E13" s="68">
        <v>1</v>
      </c>
      <c r="F13" s="68">
        <v>1</v>
      </c>
      <c r="G13" s="68"/>
      <c r="H13" s="68" t="s">
        <v>55</v>
      </c>
      <c r="I13" s="68"/>
      <c r="J13" s="68"/>
      <c r="K13" s="67"/>
      <c r="L13" s="68" t="s">
        <v>3</v>
      </c>
      <c r="M13" s="68" t="s">
        <v>51</v>
      </c>
      <c r="N13" s="70" t="s">
        <v>179</v>
      </c>
    </row>
    <row r="14" spans="2:14" ht="15.75">
      <c r="B14" s="5">
        <f t="shared" si="0"/>
        <v>13</v>
      </c>
      <c r="C14" s="77" t="s">
        <v>203</v>
      </c>
      <c r="D14" s="67" t="s">
        <v>204</v>
      </c>
      <c r="E14" s="68">
        <v>1</v>
      </c>
      <c r="F14" s="68">
        <v>1</v>
      </c>
      <c r="G14" s="68"/>
      <c r="H14" s="68" t="s">
        <v>184</v>
      </c>
      <c r="I14" s="68"/>
      <c r="J14" s="68"/>
      <c r="K14" s="67"/>
      <c r="L14" s="68" t="s">
        <v>3</v>
      </c>
      <c r="M14" s="68" t="s">
        <v>51</v>
      </c>
      <c r="N14" s="70" t="s">
        <v>179</v>
      </c>
    </row>
    <row r="15" spans="2:14" ht="15.75">
      <c r="B15" s="5">
        <f t="shared" si="0"/>
        <v>14</v>
      </c>
      <c r="C15" s="77" t="s">
        <v>205</v>
      </c>
      <c r="D15" s="67" t="s">
        <v>206</v>
      </c>
      <c r="E15" s="68" t="s">
        <v>48</v>
      </c>
      <c r="F15" s="68" t="s">
        <v>48</v>
      </c>
      <c r="G15" s="68">
        <v>1</v>
      </c>
      <c r="H15" s="68" t="s">
        <v>55</v>
      </c>
      <c r="I15" s="68"/>
      <c r="J15" s="68"/>
      <c r="K15" s="67"/>
      <c r="L15" s="68" t="s">
        <v>3</v>
      </c>
      <c r="M15" s="68" t="s">
        <v>51</v>
      </c>
      <c r="N15" s="70" t="s">
        <v>179</v>
      </c>
    </row>
    <row r="16" spans="2:14" ht="15.75">
      <c r="B16" s="5">
        <f t="shared" si="0"/>
        <v>15</v>
      </c>
      <c r="C16" s="77" t="s">
        <v>207</v>
      </c>
      <c r="D16" s="67" t="s">
        <v>208</v>
      </c>
      <c r="E16" s="68">
        <v>1</v>
      </c>
      <c r="F16" s="68">
        <v>1</v>
      </c>
      <c r="G16" s="68"/>
      <c r="H16" s="68" t="s">
        <v>184</v>
      </c>
      <c r="I16" s="68"/>
      <c r="J16" s="68"/>
      <c r="K16" s="67"/>
      <c r="L16" s="68" t="s">
        <v>3</v>
      </c>
      <c r="M16" s="68" t="s">
        <v>51</v>
      </c>
      <c r="N16" s="70" t="s">
        <v>179</v>
      </c>
    </row>
    <row r="17" spans="2:15" ht="15.75">
      <c r="B17" s="5">
        <f t="shared" si="0"/>
        <v>16</v>
      </c>
      <c r="C17" s="77" t="s">
        <v>209</v>
      </c>
      <c r="D17" s="67" t="s">
        <v>210</v>
      </c>
      <c r="E17" s="68">
        <v>1</v>
      </c>
      <c r="F17" s="68">
        <v>1</v>
      </c>
      <c r="G17" s="68"/>
      <c r="H17" s="68" t="s">
        <v>184</v>
      </c>
      <c r="I17" s="68"/>
      <c r="J17" s="68"/>
      <c r="K17" s="67"/>
      <c r="L17" s="68" t="s">
        <v>3</v>
      </c>
      <c r="M17" s="68" t="s">
        <v>51</v>
      </c>
      <c r="N17" s="70" t="s">
        <v>179</v>
      </c>
    </row>
    <row r="18" spans="2:15" ht="15.75">
      <c r="B18" s="5">
        <f t="shared" si="0"/>
        <v>17</v>
      </c>
      <c r="C18" s="77" t="s">
        <v>211</v>
      </c>
      <c r="D18" s="67" t="s">
        <v>212</v>
      </c>
      <c r="E18" s="68" t="s">
        <v>48</v>
      </c>
      <c r="F18" s="68" t="s">
        <v>48</v>
      </c>
      <c r="G18" s="68">
        <v>1</v>
      </c>
      <c r="H18" s="68" t="s">
        <v>55</v>
      </c>
      <c r="I18" s="68"/>
      <c r="J18" s="68"/>
      <c r="K18" s="67"/>
      <c r="L18" s="68" t="s">
        <v>3</v>
      </c>
      <c r="M18" s="68" t="s">
        <v>51</v>
      </c>
      <c r="N18" s="70" t="s">
        <v>179</v>
      </c>
      <c r="O18" s="6">
        <f>COUNT(B3:B18)</f>
        <v>16</v>
      </c>
    </row>
    <row r="19" spans="2:15" ht="15.75">
      <c r="B19" s="5">
        <f t="shared" si="0"/>
        <v>18</v>
      </c>
      <c r="C19" s="77" t="s">
        <v>213</v>
      </c>
      <c r="D19" s="67" t="s">
        <v>212</v>
      </c>
      <c r="E19" s="68" t="s">
        <v>48</v>
      </c>
      <c r="F19" s="68" t="s">
        <v>48</v>
      </c>
      <c r="G19" s="68">
        <v>1</v>
      </c>
      <c r="H19" s="68" t="s">
        <v>49</v>
      </c>
      <c r="I19" s="68"/>
      <c r="J19" s="68"/>
      <c r="K19" s="67"/>
      <c r="L19" s="68" t="s">
        <v>3</v>
      </c>
      <c r="M19" s="68" t="s">
        <v>51</v>
      </c>
      <c r="N19" s="70" t="s">
        <v>179</v>
      </c>
    </row>
    <row r="20" spans="2:15" ht="15.75">
      <c r="B20" s="5">
        <f>B10+1</f>
        <v>9</v>
      </c>
      <c r="C20" s="77" t="s">
        <v>214</v>
      </c>
      <c r="D20" s="67" t="s">
        <v>215</v>
      </c>
      <c r="E20" s="68" t="s">
        <v>48</v>
      </c>
      <c r="F20" s="68">
        <v>1</v>
      </c>
      <c r="G20" s="68"/>
      <c r="H20" s="68" t="s">
        <v>82</v>
      </c>
      <c r="I20" s="68"/>
      <c r="J20" s="68"/>
      <c r="K20" s="67"/>
      <c r="L20" s="68" t="s">
        <v>3</v>
      </c>
      <c r="M20" s="68" t="s">
        <v>51</v>
      </c>
      <c r="N20" s="70" t="s">
        <v>179</v>
      </c>
    </row>
    <row r="21" spans="2:15" ht="15.75">
      <c r="B21" s="5">
        <f>B19+1</f>
        <v>19</v>
      </c>
      <c r="C21" s="78" t="s">
        <v>216</v>
      </c>
      <c r="D21" s="71" t="s">
        <v>217</v>
      </c>
      <c r="E21" s="72" t="s">
        <v>48</v>
      </c>
      <c r="F21" s="72">
        <v>1</v>
      </c>
      <c r="G21" s="72">
        <v>1</v>
      </c>
      <c r="H21" s="72" t="s">
        <v>194</v>
      </c>
      <c r="I21" s="72"/>
      <c r="J21" s="72"/>
      <c r="K21" s="71"/>
      <c r="L21" s="72" t="s">
        <v>3</v>
      </c>
      <c r="M21" s="72" t="s">
        <v>75</v>
      </c>
      <c r="N21" s="73" t="s">
        <v>179</v>
      </c>
    </row>
    <row r="22" spans="2:15" ht="15.75">
      <c r="B22" s="5">
        <f t="shared" si="0"/>
        <v>20</v>
      </c>
      <c r="C22" s="78" t="s">
        <v>218</v>
      </c>
      <c r="D22" s="71" t="s">
        <v>217</v>
      </c>
      <c r="E22" s="72" t="s">
        <v>48</v>
      </c>
      <c r="F22" s="72" t="s">
        <v>48</v>
      </c>
      <c r="G22" s="72"/>
      <c r="H22" s="72" t="s">
        <v>63</v>
      </c>
      <c r="I22" s="72"/>
      <c r="J22" s="72"/>
      <c r="K22" s="71"/>
      <c r="L22" s="72" t="s">
        <v>3</v>
      </c>
      <c r="M22" s="72" t="s">
        <v>75</v>
      </c>
      <c r="N22" s="73" t="s">
        <v>179</v>
      </c>
    </row>
    <row r="23" spans="2:15" ht="15.75">
      <c r="B23" s="5">
        <f t="shared" si="0"/>
        <v>21</v>
      </c>
      <c r="C23" s="78" t="s">
        <v>219</v>
      </c>
      <c r="D23" s="71" t="s">
        <v>217</v>
      </c>
      <c r="E23" s="72" t="s">
        <v>48</v>
      </c>
      <c r="F23" s="72" t="s">
        <v>48</v>
      </c>
      <c r="G23" s="72"/>
      <c r="H23" s="72" t="s">
        <v>220</v>
      </c>
      <c r="I23" s="72"/>
      <c r="J23" s="72"/>
      <c r="K23" s="71"/>
      <c r="L23" s="72" t="s">
        <v>3</v>
      </c>
      <c r="M23" s="72" t="s">
        <v>75</v>
      </c>
      <c r="N23" s="73" t="s">
        <v>179</v>
      </c>
    </row>
    <row r="24" spans="2:15" ht="15.75">
      <c r="B24" s="5">
        <f t="shared" si="0"/>
        <v>22</v>
      </c>
      <c r="C24" s="78" t="s">
        <v>221</v>
      </c>
      <c r="D24" s="71" t="s">
        <v>217</v>
      </c>
      <c r="E24" s="72" t="s">
        <v>48</v>
      </c>
      <c r="F24" s="72" t="s">
        <v>48</v>
      </c>
      <c r="G24" s="72"/>
      <c r="H24" s="72" t="s">
        <v>220</v>
      </c>
      <c r="I24" s="72"/>
      <c r="J24" s="72"/>
      <c r="K24" s="71"/>
      <c r="L24" s="72" t="s">
        <v>3</v>
      </c>
      <c r="M24" s="72" t="s">
        <v>75</v>
      </c>
      <c r="N24" s="73" t="s">
        <v>179</v>
      </c>
    </row>
    <row r="25" spans="2:15" ht="15.75">
      <c r="B25" s="5">
        <f t="shared" si="0"/>
        <v>23</v>
      </c>
      <c r="C25" s="78" t="s">
        <v>222</v>
      </c>
      <c r="D25" s="71" t="s">
        <v>217</v>
      </c>
      <c r="E25" s="72" t="s">
        <v>48</v>
      </c>
      <c r="F25" s="72" t="s">
        <v>48</v>
      </c>
      <c r="G25" s="72"/>
      <c r="H25" s="72" t="s">
        <v>82</v>
      </c>
      <c r="I25" s="72"/>
      <c r="J25" s="72"/>
      <c r="K25" s="71"/>
      <c r="L25" s="72" t="s">
        <v>3</v>
      </c>
      <c r="M25" s="72" t="s">
        <v>75</v>
      </c>
      <c r="N25" s="73" t="s">
        <v>179</v>
      </c>
    </row>
    <row r="26" spans="2:15" ht="15.75">
      <c r="B26" s="5">
        <f t="shared" si="0"/>
        <v>24</v>
      </c>
      <c r="C26" s="78" t="s">
        <v>223</v>
      </c>
      <c r="D26" s="71" t="s">
        <v>224</v>
      </c>
      <c r="E26" s="72" t="s">
        <v>48</v>
      </c>
      <c r="F26" s="72">
        <v>1</v>
      </c>
      <c r="G26" s="72">
        <v>1</v>
      </c>
      <c r="H26" s="72" t="s">
        <v>194</v>
      </c>
      <c r="I26" s="72"/>
      <c r="J26" s="72"/>
      <c r="K26" s="71"/>
      <c r="L26" s="72" t="s">
        <v>3</v>
      </c>
      <c r="M26" s="72" t="s">
        <v>75</v>
      </c>
      <c r="N26" s="73" t="s">
        <v>179</v>
      </c>
      <c r="O26" s="6">
        <v>3</v>
      </c>
    </row>
    <row r="27" spans="2:15" ht="15.75">
      <c r="B27" s="5">
        <f t="shared" si="0"/>
        <v>25</v>
      </c>
      <c r="C27" s="79" t="s">
        <v>225</v>
      </c>
      <c r="D27" s="74" t="s">
        <v>226</v>
      </c>
      <c r="E27" s="75" t="s">
        <v>48</v>
      </c>
      <c r="F27" s="75" t="s">
        <v>48</v>
      </c>
      <c r="G27" s="75">
        <v>1</v>
      </c>
      <c r="H27" s="75" t="s">
        <v>49</v>
      </c>
      <c r="I27" s="75"/>
      <c r="J27" s="75"/>
      <c r="K27" s="74"/>
      <c r="L27" s="75" t="s">
        <v>3</v>
      </c>
      <c r="M27" s="76" t="s">
        <v>90</v>
      </c>
      <c r="N27" s="76" t="s">
        <v>179</v>
      </c>
    </row>
    <row r="28" spans="2:15" ht="15.75">
      <c r="B28" s="5">
        <f t="shared" si="0"/>
        <v>26</v>
      </c>
      <c r="C28" s="79" t="s">
        <v>227</v>
      </c>
      <c r="D28" s="74" t="s">
        <v>226</v>
      </c>
      <c r="E28" s="75" t="s">
        <v>48</v>
      </c>
      <c r="F28" s="75" t="s">
        <v>48</v>
      </c>
      <c r="G28" s="75">
        <v>1</v>
      </c>
      <c r="H28" s="75" t="s">
        <v>82</v>
      </c>
      <c r="I28" s="75"/>
      <c r="J28" s="75"/>
      <c r="K28" s="74"/>
      <c r="L28" s="75" t="s">
        <v>228</v>
      </c>
      <c r="M28" s="76" t="s">
        <v>90</v>
      </c>
      <c r="N28" s="76" t="s">
        <v>179</v>
      </c>
    </row>
    <row r="29" spans="2:15" ht="15.75">
      <c r="B29" s="5">
        <f>B27+1</f>
        <v>26</v>
      </c>
      <c r="C29" s="79" t="s">
        <v>229</v>
      </c>
      <c r="D29" s="74" t="s">
        <v>226</v>
      </c>
      <c r="E29" s="75" t="s">
        <v>48</v>
      </c>
      <c r="F29" s="75" t="s">
        <v>48</v>
      </c>
      <c r="G29" s="75">
        <v>1</v>
      </c>
      <c r="H29" s="75" t="s">
        <v>82</v>
      </c>
      <c r="I29" s="75"/>
      <c r="J29" s="75"/>
      <c r="K29" s="74"/>
      <c r="L29" s="75" t="s">
        <v>230</v>
      </c>
      <c r="M29" s="76" t="s">
        <v>90</v>
      </c>
      <c r="N29" s="76" t="s">
        <v>179</v>
      </c>
    </row>
    <row r="30" spans="2:15" ht="15.75">
      <c r="B30" s="5">
        <f>B28+1</f>
        <v>27</v>
      </c>
      <c r="C30" s="79" t="s">
        <v>231</v>
      </c>
      <c r="D30" s="74" t="s">
        <v>226</v>
      </c>
      <c r="E30" s="75" t="s">
        <v>48</v>
      </c>
      <c r="F30" s="75" t="s">
        <v>48</v>
      </c>
      <c r="G30" s="75">
        <v>1</v>
      </c>
      <c r="H30" s="75" t="s">
        <v>82</v>
      </c>
      <c r="I30" s="75"/>
      <c r="J30" s="75"/>
      <c r="K30" s="74"/>
      <c r="L30" s="75" t="s">
        <v>228</v>
      </c>
      <c r="M30" s="76" t="s">
        <v>90</v>
      </c>
      <c r="N30" s="76" t="s">
        <v>179</v>
      </c>
    </row>
    <row r="31" spans="2:15" ht="15.75">
      <c r="B31" s="5">
        <f t="shared" si="0"/>
        <v>28</v>
      </c>
      <c r="C31" s="79" t="s">
        <v>232</v>
      </c>
      <c r="D31" s="74" t="s">
        <v>226</v>
      </c>
      <c r="E31" s="75" t="s">
        <v>48</v>
      </c>
      <c r="F31" s="75" t="s">
        <v>48</v>
      </c>
      <c r="G31" s="75">
        <v>1</v>
      </c>
      <c r="H31" s="75" t="s">
        <v>82</v>
      </c>
      <c r="I31" s="75"/>
      <c r="J31" s="75"/>
      <c r="K31" s="74"/>
      <c r="L31" s="75" t="s">
        <v>228</v>
      </c>
      <c r="M31" s="76" t="s">
        <v>90</v>
      </c>
      <c r="N31" s="76" t="s">
        <v>179</v>
      </c>
    </row>
    <row r="32" spans="2:15" ht="15.75">
      <c r="B32" s="5">
        <f t="shared" si="0"/>
        <v>29</v>
      </c>
      <c r="C32" s="79" t="s">
        <v>233</v>
      </c>
      <c r="D32" s="74" t="s">
        <v>234</v>
      </c>
      <c r="E32" s="75">
        <v>1</v>
      </c>
      <c r="F32" s="75">
        <v>1</v>
      </c>
      <c r="G32" s="75">
        <v>1</v>
      </c>
      <c r="H32" s="75" t="s">
        <v>55</v>
      </c>
      <c r="I32" s="75"/>
      <c r="J32" s="75"/>
      <c r="K32" s="74"/>
      <c r="L32" s="75" t="s">
        <v>3</v>
      </c>
      <c r="M32" s="76" t="s">
        <v>90</v>
      </c>
      <c r="N32" s="76" t="s">
        <v>179</v>
      </c>
    </row>
    <row r="33" spans="2:17" ht="15.75">
      <c r="B33" s="5">
        <f t="shared" si="0"/>
        <v>30</v>
      </c>
      <c r="C33" s="79" t="s">
        <v>235</v>
      </c>
      <c r="D33" s="74" t="s">
        <v>236</v>
      </c>
      <c r="E33" s="75" t="s">
        <v>48</v>
      </c>
      <c r="F33" s="75" t="s">
        <v>48</v>
      </c>
      <c r="G33" s="75">
        <v>1</v>
      </c>
      <c r="H33" s="75" t="s">
        <v>194</v>
      </c>
      <c r="I33" s="75"/>
      <c r="J33" s="75"/>
      <c r="K33" s="74"/>
      <c r="L33" s="75" t="s">
        <v>3</v>
      </c>
      <c r="M33" s="76" t="s">
        <v>90</v>
      </c>
      <c r="N33" s="76" t="s">
        <v>179</v>
      </c>
      <c r="O33" s="6">
        <v>3</v>
      </c>
      <c r="Q33" s="27"/>
    </row>
    <row r="34" spans="2:17" ht="15">
      <c r="B34" s="61">
        <f>COUNT(B3:B33)</f>
        <v>31</v>
      </c>
      <c r="C34" s="62"/>
      <c r="D34" s="62"/>
      <c r="E34" s="80">
        <f>COUNT(E3:E33)</f>
        <v>11</v>
      </c>
      <c r="F34" s="80">
        <f>COUNT(F3:F33)</f>
        <v>16</v>
      </c>
      <c r="G34" s="80">
        <f>SUM(G3:G33)</f>
        <v>14</v>
      </c>
      <c r="H34" s="63"/>
      <c r="I34" s="63"/>
      <c r="J34" s="63"/>
      <c r="K34" s="64"/>
      <c r="L34" s="63"/>
      <c r="M34" s="63"/>
      <c r="N34" s="65"/>
    </row>
    <row r="36" spans="2:17">
      <c r="C36" s="10" t="s">
        <v>38</v>
      </c>
      <c r="D36" s="66" t="s">
        <v>173</v>
      </c>
      <c r="E36" s="66" t="s">
        <v>174</v>
      </c>
      <c r="F36" s="66" t="s">
        <v>175</v>
      </c>
      <c r="G36" s="66" t="s">
        <v>176</v>
      </c>
      <c r="H36" s="66" t="s">
        <v>40</v>
      </c>
      <c r="I36" s="66" t="s">
        <v>41</v>
      </c>
      <c r="J36" s="66" t="s">
        <v>42</v>
      </c>
      <c r="K36" s="66" t="s">
        <v>43</v>
      </c>
      <c r="L36" s="66" t="s">
        <v>44</v>
      </c>
      <c r="M36" s="66" t="s">
        <v>45</v>
      </c>
      <c r="N36" s="66" t="s">
        <v>46</v>
      </c>
    </row>
    <row r="37" spans="2:17" ht="15.75">
      <c r="B37" s="5">
        <v>1</v>
      </c>
      <c r="C37" s="77" t="s">
        <v>237</v>
      </c>
      <c r="D37" s="67" t="s">
        <v>181</v>
      </c>
      <c r="E37" s="68">
        <v>1</v>
      </c>
      <c r="F37" s="68">
        <v>1</v>
      </c>
      <c r="G37" s="68"/>
      <c r="H37" s="68" t="s">
        <v>55</v>
      </c>
      <c r="I37" s="68"/>
      <c r="J37" s="68"/>
      <c r="K37" s="67"/>
      <c r="L37" s="68" t="s">
        <v>3</v>
      </c>
      <c r="M37" s="68" t="s">
        <v>238</v>
      </c>
      <c r="N37" s="70" t="s">
        <v>179</v>
      </c>
      <c r="O37" s="6">
        <v>1</v>
      </c>
    </row>
    <row r="38" spans="2:17" ht="15.75">
      <c r="B38" s="5">
        <v>2</v>
      </c>
      <c r="C38" s="77" t="s">
        <v>239</v>
      </c>
      <c r="D38" s="67" t="s">
        <v>183</v>
      </c>
      <c r="E38" s="68">
        <v>1</v>
      </c>
      <c r="F38" s="68">
        <v>1</v>
      </c>
      <c r="G38" s="68"/>
      <c r="H38" s="68" t="s">
        <v>63</v>
      </c>
      <c r="I38" s="68"/>
      <c r="J38" s="68"/>
      <c r="K38" s="67"/>
      <c r="L38" s="68" t="s">
        <v>3</v>
      </c>
      <c r="M38" s="68" t="s">
        <v>51</v>
      </c>
      <c r="N38" s="70" t="s">
        <v>240</v>
      </c>
    </row>
    <row r="39" spans="2:17" ht="15.75">
      <c r="B39" s="5">
        <v>3</v>
      </c>
      <c r="C39" s="77" t="s">
        <v>241</v>
      </c>
      <c r="D39" s="67" t="s">
        <v>183</v>
      </c>
      <c r="E39" s="68">
        <v>1</v>
      </c>
      <c r="F39" s="68">
        <v>1</v>
      </c>
      <c r="G39" s="68"/>
      <c r="H39" s="68" t="s">
        <v>63</v>
      </c>
      <c r="I39" s="68"/>
      <c r="J39" s="68"/>
      <c r="K39" s="67"/>
      <c r="L39" s="68" t="s">
        <v>3</v>
      </c>
      <c r="M39" s="68" t="s">
        <v>51</v>
      </c>
      <c r="N39" s="70" t="s">
        <v>240</v>
      </c>
    </row>
    <row r="40" spans="2:17" ht="15.75">
      <c r="B40" s="5">
        <v>4</v>
      </c>
      <c r="C40" s="77" t="s">
        <v>242</v>
      </c>
      <c r="D40" s="67" t="s">
        <v>183</v>
      </c>
      <c r="E40" s="68">
        <v>1</v>
      </c>
      <c r="F40" s="68">
        <v>1</v>
      </c>
      <c r="G40" s="68"/>
      <c r="H40" s="68" t="s">
        <v>63</v>
      </c>
      <c r="I40" s="68"/>
      <c r="J40" s="68"/>
      <c r="K40" s="67"/>
      <c r="L40" s="68" t="s">
        <v>3</v>
      </c>
      <c r="M40" s="68" t="s">
        <v>51</v>
      </c>
      <c r="N40" s="70" t="s">
        <v>240</v>
      </c>
    </row>
    <row r="41" spans="2:17" ht="15.75">
      <c r="B41" s="5">
        <v>5</v>
      </c>
      <c r="C41" s="77" t="s">
        <v>243</v>
      </c>
      <c r="D41" s="67" t="s">
        <v>183</v>
      </c>
      <c r="E41" s="68">
        <v>1</v>
      </c>
      <c r="F41" s="68">
        <v>1</v>
      </c>
      <c r="G41" s="68"/>
      <c r="H41" s="68" t="s">
        <v>63</v>
      </c>
      <c r="I41" s="68"/>
      <c r="J41" s="68"/>
      <c r="K41" s="67"/>
      <c r="L41" s="68" t="s">
        <v>3</v>
      </c>
      <c r="M41" s="68" t="s">
        <v>51</v>
      </c>
      <c r="N41" s="70" t="s">
        <v>240</v>
      </c>
    </row>
    <row r="42" spans="2:17" ht="15.75">
      <c r="B42" s="5">
        <v>6</v>
      </c>
      <c r="C42" s="77" t="s">
        <v>244</v>
      </c>
      <c r="D42" s="67" t="s">
        <v>183</v>
      </c>
      <c r="E42" s="68">
        <v>1</v>
      </c>
      <c r="F42" s="68">
        <v>1</v>
      </c>
      <c r="G42" s="68"/>
      <c r="H42" s="68" t="s">
        <v>63</v>
      </c>
      <c r="I42" s="68"/>
      <c r="J42" s="68"/>
      <c r="K42" s="67"/>
      <c r="L42" s="68" t="s">
        <v>3</v>
      </c>
      <c r="M42" s="68" t="s">
        <v>51</v>
      </c>
      <c r="N42" s="70" t="s">
        <v>240</v>
      </c>
      <c r="O42" s="25">
        <f>SUM(E37:E42)</f>
        <v>6</v>
      </c>
    </row>
    <row r="43" spans="2:17" ht="15.75">
      <c r="B43" s="5">
        <v>7</v>
      </c>
      <c r="C43" s="77" t="s">
        <v>245</v>
      </c>
      <c r="D43" s="67" t="s">
        <v>183</v>
      </c>
      <c r="E43" s="68">
        <v>1</v>
      </c>
      <c r="F43" s="68">
        <v>1</v>
      </c>
      <c r="G43" s="68"/>
      <c r="H43" s="68" t="s">
        <v>184</v>
      </c>
      <c r="I43" s="68"/>
      <c r="J43" s="68"/>
      <c r="K43" s="67"/>
      <c r="L43" s="68" t="s">
        <v>246</v>
      </c>
      <c r="M43" s="68" t="s">
        <v>90</v>
      </c>
      <c r="N43" s="70" t="s">
        <v>247</v>
      </c>
    </row>
    <row r="44" spans="2:17" ht="15.75">
      <c r="B44" s="5">
        <v>8</v>
      </c>
      <c r="C44" s="77" t="s">
        <v>248</v>
      </c>
      <c r="D44" s="67" t="s">
        <v>183</v>
      </c>
      <c r="E44" s="68">
        <v>1</v>
      </c>
      <c r="F44" s="68">
        <v>1</v>
      </c>
      <c r="G44" s="68"/>
      <c r="H44" s="68" t="s">
        <v>63</v>
      </c>
      <c r="I44" s="68"/>
      <c r="J44" s="68"/>
      <c r="K44" s="67"/>
      <c r="L44" s="68" t="s">
        <v>3</v>
      </c>
      <c r="M44" s="68" t="s">
        <v>249</v>
      </c>
      <c r="N44" s="70" t="s">
        <v>250</v>
      </c>
    </row>
    <row r="45" spans="2:17" ht="15.75">
      <c r="B45" s="5">
        <v>9</v>
      </c>
      <c r="C45" s="77" t="s">
        <v>251</v>
      </c>
      <c r="D45" s="67" t="s">
        <v>186</v>
      </c>
      <c r="E45" s="68">
        <v>1</v>
      </c>
      <c r="F45" s="68">
        <v>1</v>
      </c>
      <c r="G45" s="68"/>
      <c r="H45" s="68" t="s">
        <v>55</v>
      </c>
      <c r="I45" s="68"/>
      <c r="J45" s="68"/>
      <c r="K45" s="67"/>
      <c r="L45" s="68" t="s">
        <v>3</v>
      </c>
      <c r="M45" s="68" t="s">
        <v>140</v>
      </c>
      <c r="N45" s="70" t="s">
        <v>252</v>
      </c>
    </row>
    <row r="46" spans="2:17" ht="15.75">
      <c r="B46" s="5">
        <v>10</v>
      </c>
      <c r="C46" s="77" t="s">
        <v>253</v>
      </c>
      <c r="D46" s="67" t="s">
        <v>188</v>
      </c>
      <c r="E46" s="68">
        <v>1</v>
      </c>
      <c r="F46" s="68">
        <v>1</v>
      </c>
      <c r="G46" s="68"/>
      <c r="H46" s="68" t="s">
        <v>55</v>
      </c>
      <c r="I46" s="68"/>
      <c r="J46" s="68"/>
      <c r="K46" s="67"/>
      <c r="L46" s="68" t="s">
        <v>3</v>
      </c>
      <c r="M46" s="68" t="s">
        <v>254</v>
      </c>
      <c r="N46" s="70" t="s">
        <v>255</v>
      </c>
      <c r="O46" s="6">
        <v>4</v>
      </c>
    </row>
    <row r="47" spans="2:17" ht="15.75">
      <c r="B47" s="5">
        <v>11</v>
      </c>
      <c r="C47" s="77" t="s">
        <v>256</v>
      </c>
      <c r="D47" s="67" t="s">
        <v>190</v>
      </c>
      <c r="E47" s="68">
        <v>1</v>
      </c>
      <c r="F47" s="68">
        <v>1</v>
      </c>
      <c r="G47" s="68"/>
      <c r="H47" s="68" t="s">
        <v>55</v>
      </c>
      <c r="I47" s="68"/>
      <c r="J47" s="68"/>
      <c r="K47" s="67"/>
      <c r="L47" s="68" t="s">
        <v>3</v>
      </c>
      <c r="M47" s="68" t="s">
        <v>257</v>
      </c>
      <c r="N47" s="70" t="s">
        <v>258</v>
      </c>
    </row>
    <row r="49" spans="2:14">
      <c r="B49" s="145" t="s">
        <v>259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</row>
    <row r="50" spans="2:14">
      <c r="B50" s="5">
        <v>1</v>
      </c>
      <c r="C50" s="20" t="s">
        <v>260</v>
      </c>
      <c r="D50" s="20"/>
      <c r="E50" s="86">
        <v>0</v>
      </c>
      <c r="F50" s="86">
        <v>0</v>
      </c>
      <c r="G50" s="83">
        <v>1</v>
      </c>
      <c r="H50" s="88" t="s">
        <v>57</v>
      </c>
      <c r="I50" s="90"/>
      <c r="J50" s="91"/>
      <c r="K50" s="90"/>
      <c r="L50" s="99" t="s">
        <v>3</v>
      </c>
      <c r="M50" s="68" t="s">
        <v>51</v>
      </c>
      <c r="N50" s="23" t="s">
        <v>166</v>
      </c>
    </row>
    <row r="51" spans="2:14">
      <c r="B51" s="5">
        <f t="shared" ref="B51:B53" si="1">B50+1</f>
        <v>2</v>
      </c>
      <c r="C51" s="20" t="s">
        <v>261</v>
      </c>
      <c r="D51" s="20"/>
      <c r="E51" s="86">
        <v>0</v>
      </c>
      <c r="F51" s="86">
        <v>0</v>
      </c>
      <c r="G51" s="83">
        <v>1</v>
      </c>
      <c r="H51" s="88" t="s">
        <v>57</v>
      </c>
      <c r="I51" s="90"/>
      <c r="J51" s="91"/>
      <c r="K51" s="90"/>
      <c r="L51" s="99" t="s">
        <v>3</v>
      </c>
      <c r="M51" s="68" t="s">
        <v>51</v>
      </c>
      <c r="N51" s="23" t="s">
        <v>166</v>
      </c>
    </row>
    <row r="52" spans="2:14">
      <c r="B52" s="5">
        <f t="shared" si="1"/>
        <v>3</v>
      </c>
      <c r="C52" s="20" t="s">
        <v>262</v>
      </c>
      <c r="D52" s="20"/>
      <c r="E52" s="86">
        <v>0</v>
      </c>
      <c r="F52" s="86">
        <v>0</v>
      </c>
      <c r="G52" s="83">
        <v>1</v>
      </c>
      <c r="H52" s="88" t="s">
        <v>57</v>
      </c>
      <c r="I52" s="90"/>
      <c r="J52" s="91"/>
      <c r="K52" s="90"/>
      <c r="L52" s="99" t="s">
        <v>3</v>
      </c>
      <c r="M52" s="68" t="s">
        <v>51</v>
      </c>
      <c r="N52" s="23" t="s">
        <v>166</v>
      </c>
    </row>
    <row r="53" spans="2:14">
      <c r="B53" s="5">
        <f t="shared" si="1"/>
        <v>4</v>
      </c>
      <c r="C53" s="81" t="s">
        <v>263</v>
      </c>
      <c r="D53" s="81"/>
      <c r="E53" s="87">
        <v>0</v>
      </c>
      <c r="F53" s="87">
        <v>0</v>
      </c>
      <c r="G53" s="84">
        <v>1</v>
      </c>
      <c r="H53" s="89" t="s">
        <v>57</v>
      </c>
      <c r="I53" s="90"/>
      <c r="J53" s="91"/>
      <c r="K53" s="90"/>
      <c r="L53" s="99" t="s">
        <v>3</v>
      </c>
      <c r="M53" s="68" t="s">
        <v>51</v>
      </c>
      <c r="N53" s="23" t="s">
        <v>166</v>
      </c>
    </row>
    <row r="54" spans="2:14">
      <c r="B54" s="92"/>
      <c r="C54" s="93"/>
      <c r="D54" s="93"/>
      <c r="E54" s="94"/>
      <c r="F54" s="94"/>
      <c r="G54" s="95"/>
      <c r="H54" s="95"/>
      <c r="I54" s="96"/>
      <c r="J54" s="96"/>
      <c r="K54" s="96"/>
      <c r="L54" s="97"/>
      <c r="M54" s="98"/>
      <c r="N54" s="97"/>
    </row>
    <row r="55" spans="2:14">
      <c r="B55" s="145" t="s">
        <v>264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</row>
    <row r="56" spans="2:14">
      <c r="B56" s="5">
        <v>1</v>
      </c>
      <c r="C56" s="20" t="s">
        <v>265</v>
      </c>
      <c r="D56" s="20"/>
      <c r="E56" s="86">
        <v>0</v>
      </c>
      <c r="F56" s="86">
        <v>0</v>
      </c>
      <c r="G56" s="83"/>
      <c r="H56" s="88" t="s">
        <v>57</v>
      </c>
      <c r="I56" s="90"/>
      <c r="J56" s="91"/>
      <c r="K56" s="90"/>
      <c r="L56" s="83" t="s">
        <v>266</v>
      </c>
      <c r="M56" s="85" t="s">
        <v>90</v>
      </c>
      <c r="N56" s="23" t="s">
        <v>163</v>
      </c>
    </row>
    <row r="57" spans="2:14">
      <c r="B57" s="5">
        <f t="shared" ref="B57:B59" si="2">B56+1</f>
        <v>2</v>
      </c>
      <c r="C57" s="20" t="s">
        <v>267</v>
      </c>
      <c r="D57" s="20"/>
      <c r="E57" s="86">
        <v>0</v>
      </c>
      <c r="F57" s="86">
        <v>0</v>
      </c>
      <c r="G57" s="83"/>
      <c r="H57" s="88" t="s">
        <v>57</v>
      </c>
      <c r="I57" s="90"/>
      <c r="J57" s="91"/>
      <c r="K57" s="90"/>
      <c r="L57" s="83" t="s">
        <v>165</v>
      </c>
      <c r="M57" s="85" t="s">
        <v>90</v>
      </c>
      <c r="N57" s="23" t="s">
        <v>166</v>
      </c>
    </row>
    <row r="58" spans="2:14">
      <c r="B58" s="5">
        <f t="shared" si="2"/>
        <v>3</v>
      </c>
      <c r="C58" s="20" t="s">
        <v>268</v>
      </c>
      <c r="D58" s="20"/>
      <c r="E58" s="86">
        <v>0</v>
      </c>
      <c r="F58" s="86">
        <v>0</v>
      </c>
      <c r="G58" s="83"/>
      <c r="H58" s="88" t="s">
        <v>57</v>
      </c>
      <c r="I58" s="90"/>
      <c r="J58" s="91"/>
      <c r="K58" s="90"/>
      <c r="L58" s="83" t="s">
        <v>269</v>
      </c>
      <c r="M58" s="85" t="s">
        <v>90</v>
      </c>
      <c r="N58" s="23" t="s">
        <v>166</v>
      </c>
    </row>
    <row r="59" spans="2:14">
      <c r="B59" s="5">
        <f t="shared" si="2"/>
        <v>4</v>
      </c>
      <c r="C59" s="81" t="s">
        <v>270</v>
      </c>
      <c r="D59" s="81"/>
      <c r="E59" s="87">
        <v>0</v>
      </c>
      <c r="F59" s="87">
        <v>0</v>
      </c>
      <c r="G59" s="84"/>
      <c r="H59" s="89" t="s">
        <v>63</v>
      </c>
      <c r="I59" s="90"/>
      <c r="J59" s="91"/>
      <c r="K59" s="90"/>
      <c r="L59" s="83" t="s">
        <v>269</v>
      </c>
      <c r="M59" s="85" t="s">
        <v>90</v>
      </c>
      <c r="N59" s="23" t="s">
        <v>166</v>
      </c>
    </row>
  </sheetData>
  <mergeCells count="2">
    <mergeCell ref="B55:N55"/>
    <mergeCell ref="B49:N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BC7E1-2130-4FE5-B0D1-50B41CE3D825}">
  <dimension ref="B2:Q37"/>
  <sheetViews>
    <sheetView topLeftCell="B1" workbookViewId="0">
      <selection activeCell="L12" sqref="L12"/>
    </sheetView>
  </sheetViews>
  <sheetFormatPr defaultColWidth="9.140625" defaultRowHeight="11.25"/>
  <cols>
    <col min="1" max="1" width="9.140625" style="6"/>
    <col min="2" max="2" width="9.140625" style="9"/>
    <col min="3" max="3" width="49.42578125" style="26" customWidth="1"/>
    <col min="4" max="4" width="19.42578125" style="26" bestFit="1" customWidth="1"/>
    <col min="5" max="6" width="9.5703125" style="56" bestFit="1" customWidth="1"/>
    <col min="7" max="7" width="10.140625" style="56" bestFit="1" customWidth="1"/>
    <col min="8" max="8" width="7.42578125" style="6" bestFit="1" customWidth="1"/>
    <col min="9" max="9" width="5.140625" style="6" bestFit="1" customWidth="1"/>
    <col min="10" max="10" width="19.42578125" style="6" bestFit="1" customWidth="1"/>
    <col min="11" max="11" width="21.5703125" style="6" bestFit="1" customWidth="1"/>
    <col min="12" max="12" width="22.5703125" style="6" bestFit="1" customWidth="1"/>
    <col min="13" max="13" width="19.28515625" style="6" customWidth="1"/>
    <col min="14" max="14" width="16.7109375" style="25" bestFit="1" customWidth="1"/>
    <col min="15" max="16384" width="9.140625" style="6"/>
  </cols>
  <sheetData>
    <row r="2" spans="2:14">
      <c r="C2" s="10" t="s">
        <v>38</v>
      </c>
      <c r="D2" s="66" t="s">
        <v>173</v>
      </c>
      <c r="E2" s="66" t="s">
        <v>174</v>
      </c>
      <c r="F2" s="66" t="s">
        <v>175</v>
      </c>
      <c r="G2" s="66" t="s">
        <v>176</v>
      </c>
      <c r="H2" s="66" t="s">
        <v>40</v>
      </c>
      <c r="I2" s="66" t="s">
        <v>41</v>
      </c>
      <c r="J2" s="66" t="s">
        <v>42</v>
      </c>
      <c r="K2" s="66" t="s">
        <v>43</v>
      </c>
      <c r="L2" s="66" t="s">
        <v>44</v>
      </c>
      <c r="M2" s="66" t="s">
        <v>45</v>
      </c>
      <c r="N2" s="66" t="s">
        <v>46</v>
      </c>
    </row>
    <row r="3" spans="2:14" ht="15.75">
      <c r="B3" s="5">
        <v>1</v>
      </c>
      <c r="C3" s="77" t="s">
        <v>271</v>
      </c>
      <c r="D3" s="109">
        <v>46001</v>
      </c>
      <c r="E3" s="68" t="s">
        <v>48</v>
      </c>
      <c r="F3" s="68">
        <v>0</v>
      </c>
      <c r="G3" s="68">
        <v>1</v>
      </c>
      <c r="H3" s="68" t="s">
        <v>55</v>
      </c>
      <c r="I3" s="68"/>
      <c r="J3" s="68"/>
      <c r="K3" s="67" t="s">
        <v>50</v>
      </c>
      <c r="L3" s="69" t="s">
        <v>3</v>
      </c>
      <c r="M3" s="69" t="s">
        <v>51</v>
      </c>
      <c r="N3" s="111" t="s">
        <v>272</v>
      </c>
    </row>
    <row r="4" spans="2:14" ht="15.75">
      <c r="B4" s="5">
        <f t="shared" ref="B4:B36" si="0">B3+1</f>
        <v>2</v>
      </c>
      <c r="C4" s="77" t="s">
        <v>273</v>
      </c>
      <c r="D4" s="109">
        <v>46001</v>
      </c>
      <c r="E4" s="68" t="s">
        <v>48</v>
      </c>
      <c r="F4" s="68">
        <v>0</v>
      </c>
      <c r="G4" s="68">
        <v>1</v>
      </c>
      <c r="H4" s="68" t="s">
        <v>55</v>
      </c>
      <c r="I4" s="68"/>
      <c r="J4" s="68"/>
      <c r="K4" s="67" t="s">
        <v>50</v>
      </c>
      <c r="L4" s="68" t="s">
        <v>3</v>
      </c>
      <c r="M4" s="68" t="s">
        <v>51</v>
      </c>
      <c r="N4" s="111" t="s">
        <v>272</v>
      </c>
    </row>
    <row r="5" spans="2:14" ht="15.75">
      <c r="B5" s="5">
        <f t="shared" si="0"/>
        <v>3</v>
      </c>
      <c r="C5" s="77" t="s">
        <v>274</v>
      </c>
      <c r="D5" s="109">
        <v>46001</v>
      </c>
      <c r="E5" s="68" t="s">
        <v>48</v>
      </c>
      <c r="F5" s="68">
        <v>0</v>
      </c>
      <c r="G5" s="68">
        <v>1</v>
      </c>
      <c r="H5" s="68" t="s">
        <v>55</v>
      </c>
      <c r="I5" s="68"/>
      <c r="J5" s="68"/>
      <c r="K5" s="67" t="s">
        <v>50</v>
      </c>
      <c r="L5" s="68" t="s">
        <v>3</v>
      </c>
      <c r="M5" s="68" t="s">
        <v>51</v>
      </c>
      <c r="N5" s="111" t="s">
        <v>272</v>
      </c>
    </row>
    <row r="6" spans="2:14" ht="15.75">
      <c r="B6" s="5">
        <f t="shared" si="0"/>
        <v>4</v>
      </c>
      <c r="C6" s="77" t="s">
        <v>275</v>
      </c>
      <c r="D6" s="109">
        <v>46001</v>
      </c>
      <c r="E6" s="68" t="s">
        <v>48</v>
      </c>
      <c r="F6" s="68">
        <v>0</v>
      </c>
      <c r="G6" s="68">
        <v>1</v>
      </c>
      <c r="H6" s="68" t="s">
        <v>82</v>
      </c>
      <c r="I6" s="68"/>
      <c r="J6" s="68"/>
      <c r="K6" s="67" t="s">
        <v>50</v>
      </c>
      <c r="L6" s="68" t="s">
        <v>3</v>
      </c>
      <c r="M6" s="68" t="s">
        <v>51</v>
      </c>
      <c r="N6" s="111" t="s">
        <v>272</v>
      </c>
    </row>
    <row r="7" spans="2:14" ht="15.75">
      <c r="B7" s="5">
        <f t="shared" si="0"/>
        <v>5</v>
      </c>
      <c r="C7" s="77" t="s">
        <v>276</v>
      </c>
      <c r="D7" s="109">
        <v>46001</v>
      </c>
      <c r="E7" s="68" t="s">
        <v>48</v>
      </c>
      <c r="F7" s="68">
        <v>0</v>
      </c>
      <c r="G7" s="68">
        <v>1</v>
      </c>
      <c r="H7" s="68" t="s">
        <v>82</v>
      </c>
      <c r="I7" s="68"/>
      <c r="J7" s="68"/>
      <c r="K7" s="67" t="s">
        <v>50</v>
      </c>
      <c r="L7" s="68" t="s">
        <v>3</v>
      </c>
      <c r="M7" s="68" t="s">
        <v>51</v>
      </c>
      <c r="N7" s="111" t="s">
        <v>272</v>
      </c>
    </row>
    <row r="8" spans="2:14" ht="15.75">
      <c r="B8" s="5">
        <f t="shared" si="0"/>
        <v>6</v>
      </c>
      <c r="C8" s="77" t="s">
        <v>277</v>
      </c>
      <c r="D8" s="109">
        <v>46001</v>
      </c>
      <c r="E8" s="68" t="s">
        <v>48</v>
      </c>
      <c r="F8" s="68">
        <v>0</v>
      </c>
      <c r="G8" s="68">
        <v>1</v>
      </c>
      <c r="H8" s="68" t="s">
        <v>82</v>
      </c>
      <c r="I8" s="68"/>
      <c r="J8" s="68"/>
      <c r="K8" s="67" t="s">
        <v>50</v>
      </c>
      <c r="L8" s="68" t="s">
        <v>3</v>
      </c>
      <c r="M8" s="68" t="s">
        <v>51</v>
      </c>
      <c r="N8" s="111" t="s">
        <v>272</v>
      </c>
    </row>
    <row r="9" spans="2:14" ht="15.75">
      <c r="B9" s="5">
        <f t="shared" si="0"/>
        <v>7</v>
      </c>
      <c r="C9" s="77" t="s">
        <v>278</v>
      </c>
      <c r="D9" s="109">
        <v>46001</v>
      </c>
      <c r="E9" s="68" t="s">
        <v>48</v>
      </c>
      <c r="F9" s="68">
        <v>0</v>
      </c>
      <c r="G9" s="68">
        <v>1</v>
      </c>
      <c r="H9" s="68" t="s">
        <v>194</v>
      </c>
      <c r="I9" s="68"/>
      <c r="J9" s="68"/>
      <c r="K9" s="67" t="s">
        <v>50</v>
      </c>
      <c r="L9" s="68" t="s">
        <v>3</v>
      </c>
      <c r="M9" s="68" t="s">
        <v>51</v>
      </c>
      <c r="N9" s="111" t="s">
        <v>272</v>
      </c>
    </row>
    <row r="10" spans="2:14" ht="15.75">
      <c r="B10" s="5">
        <f t="shared" si="0"/>
        <v>8</v>
      </c>
      <c r="C10" s="77" t="s">
        <v>279</v>
      </c>
      <c r="D10" s="109">
        <v>46001</v>
      </c>
      <c r="E10" s="68" t="s">
        <v>48</v>
      </c>
      <c r="F10" s="68">
        <v>0</v>
      </c>
      <c r="G10" s="68">
        <v>1</v>
      </c>
      <c r="H10" s="68" t="s">
        <v>49</v>
      </c>
      <c r="I10" s="68"/>
      <c r="J10" s="68"/>
      <c r="K10" s="67" t="s">
        <v>50</v>
      </c>
      <c r="L10" s="68" t="s">
        <v>3</v>
      </c>
      <c r="M10" s="68" t="s">
        <v>51</v>
      </c>
      <c r="N10" s="111" t="s">
        <v>272</v>
      </c>
    </row>
    <row r="11" spans="2:14" ht="15.75">
      <c r="B11" s="5">
        <f>B20+1</f>
        <v>10</v>
      </c>
      <c r="C11" s="77" t="s">
        <v>280</v>
      </c>
      <c r="D11" s="109">
        <v>46001</v>
      </c>
      <c r="E11" s="68" t="s">
        <v>48</v>
      </c>
      <c r="F11" s="68">
        <v>0</v>
      </c>
      <c r="G11" s="68"/>
      <c r="H11" s="68" t="s">
        <v>55</v>
      </c>
      <c r="I11" s="68"/>
      <c r="J11" s="68"/>
      <c r="K11" s="67" t="s">
        <v>50</v>
      </c>
      <c r="L11" s="68" t="s">
        <v>3</v>
      </c>
      <c r="M11" s="68" t="s">
        <v>51</v>
      </c>
      <c r="N11" s="111" t="s">
        <v>272</v>
      </c>
    </row>
    <row r="12" spans="2:14" ht="15.75">
      <c r="B12" s="5">
        <f t="shared" si="0"/>
        <v>11</v>
      </c>
      <c r="C12" s="78" t="s">
        <v>281</v>
      </c>
      <c r="D12" s="112">
        <v>46001</v>
      </c>
      <c r="E12" s="72" t="s">
        <v>48</v>
      </c>
      <c r="F12" s="72">
        <v>1</v>
      </c>
      <c r="G12" s="72"/>
      <c r="H12" s="72" t="s">
        <v>55</v>
      </c>
      <c r="I12" s="72"/>
      <c r="J12" s="72"/>
      <c r="K12" s="71" t="s">
        <v>282</v>
      </c>
      <c r="L12" s="72" t="s">
        <v>3</v>
      </c>
      <c r="M12" s="72" t="s">
        <v>283</v>
      </c>
      <c r="N12" s="113" t="s">
        <v>272</v>
      </c>
    </row>
    <row r="13" spans="2:14" ht="15.75">
      <c r="B13" s="5">
        <f t="shared" si="0"/>
        <v>12</v>
      </c>
      <c r="C13" s="78" t="s">
        <v>284</v>
      </c>
      <c r="D13" s="112">
        <v>46001</v>
      </c>
      <c r="E13" s="72" t="s">
        <v>48</v>
      </c>
      <c r="F13" s="72">
        <v>1</v>
      </c>
      <c r="G13" s="72"/>
      <c r="H13" s="72" t="s">
        <v>55</v>
      </c>
      <c r="I13" s="72"/>
      <c r="J13" s="72"/>
      <c r="K13" s="71" t="s">
        <v>282</v>
      </c>
      <c r="L13" s="72" t="s">
        <v>3</v>
      </c>
      <c r="M13" s="72" t="s">
        <v>283</v>
      </c>
      <c r="N13" s="113" t="s">
        <v>272</v>
      </c>
    </row>
    <row r="14" spans="2:14" ht="15.75">
      <c r="B14" s="5">
        <f t="shared" si="0"/>
        <v>13</v>
      </c>
      <c r="C14" s="78" t="s">
        <v>285</v>
      </c>
      <c r="D14" s="112">
        <v>46001</v>
      </c>
      <c r="E14" s="72" t="s">
        <v>48</v>
      </c>
      <c r="F14" s="72">
        <v>1</v>
      </c>
      <c r="G14" s="72"/>
      <c r="H14" s="72" t="s">
        <v>55</v>
      </c>
      <c r="I14" s="72"/>
      <c r="J14" s="72"/>
      <c r="K14" s="71" t="s">
        <v>282</v>
      </c>
      <c r="L14" s="72" t="s">
        <v>3</v>
      </c>
      <c r="M14" s="72" t="s">
        <v>283</v>
      </c>
      <c r="N14" s="113" t="s">
        <v>272</v>
      </c>
    </row>
    <row r="15" spans="2:14" ht="15.75">
      <c r="B15" s="5">
        <f t="shared" si="0"/>
        <v>14</v>
      </c>
      <c r="C15" s="78" t="s">
        <v>286</v>
      </c>
      <c r="D15" s="112">
        <v>46001</v>
      </c>
      <c r="E15" s="72" t="s">
        <v>48</v>
      </c>
      <c r="F15" s="72">
        <v>1</v>
      </c>
      <c r="G15" s="72"/>
      <c r="H15" s="72" t="s">
        <v>55</v>
      </c>
      <c r="I15" s="72"/>
      <c r="J15" s="72"/>
      <c r="K15" s="71" t="s">
        <v>282</v>
      </c>
      <c r="L15" s="72" t="s">
        <v>3</v>
      </c>
      <c r="M15" s="72" t="s">
        <v>283</v>
      </c>
      <c r="N15" s="113" t="s">
        <v>272</v>
      </c>
    </row>
    <row r="16" spans="2:14" ht="15.75">
      <c r="B16" s="5">
        <f t="shared" si="0"/>
        <v>15</v>
      </c>
      <c r="C16" s="78" t="s">
        <v>287</v>
      </c>
      <c r="D16" s="112">
        <v>46001</v>
      </c>
      <c r="E16" s="72" t="s">
        <v>48</v>
      </c>
      <c r="F16" s="72">
        <v>1</v>
      </c>
      <c r="G16" s="72"/>
      <c r="H16" s="72" t="s">
        <v>55</v>
      </c>
      <c r="I16" s="72"/>
      <c r="J16" s="72"/>
      <c r="K16" s="71" t="s">
        <v>282</v>
      </c>
      <c r="L16" s="72" t="s">
        <v>3</v>
      </c>
      <c r="M16" s="72" t="s">
        <v>283</v>
      </c>
      <c r="N16" s="113" t="s">
        <v>272</v>
      </c>
    </row>
    <row r="17" spans="2:15" ht="15.75">
      <c r="B17" s="5">
        <f t="shared" si="0"/>
        <v>16</v>
      </c>
      <c r="C17" s="78" t="s">
        <v>288</v>
      </c>
      <c r="D17" s="112">
        <v>46001</v>
      </c>
      <c r="E17" s="72" t="s">
        <v>48</v>
      </c>
      <c r="F17" s="72">
        <v>1</v>
      </c>
      <c r="G17" s="72"/>
      <c r="H17" s="72" t="s">
        <v>55</v>
      </c>
      <c r="I17" s="72"/>
      <c r="J17" s="72"/>
      <c r="K17" s="71" t="s">
        <v>282</v>
      </c>
      <c r="L17" s="72" t="s">
        <v>3</v>
      </c>
      <c r="M17" s="72" t="s">
        <v>283</v>
      </c>
      <c r="N17" s="113" t="s">
        <v>272</v>
      </c>
    </row>
    <row r="18" spans="2:15" ht="15.75">
      <c r="B18" s="5">
        <f t="shared" si="0"/>
        <v>17</v>
      </c>
      <c r="C18" s="78" t="s">
        <v>289</v>
      </c>
      <c r="D18" s="112">
        <v>46001</v>
      </c>
      <c r="E18" s="72" t="s">
        <v>48</v>
      </c>
      <c r="F18" s="72">
        <v>1</v>
      </c>
      <c r="G18" s="72"/>
      <c r="H18" s="72" t="s">
        <v>55</v>
      </c>
      <c r="I18" s="72"/>
      <c r="J18" s="72"/>
      <c r="K18" s="71" t="s">
        <v>282</v>
      </c>
      <c r="L18" s="72" t="s">
        <v>3</v>
      </c>
      <c r="M18" s="72" t="s">
        <v>283</v>
      </c>
      <c r="N18" s="113" t="s">
        <v>272</v>
      </c>
      <c r="O18" s="6">
        <f>COUNT(B3:B18)</f>
        <v>16</v>
      </c>
    </row>
    <row r="19" spans="2:15" ht="15.75">
      <c r="B19" s="5">
        <f t="shared" si="0"/>
        <v>18</v>
      </c>
      <c r="C19" s="78" t="s">
        <v>290</v>
      </c>
      <c r="D19" s="112">
        <v>46001</v>
      </c>
      <c r="E19" s="72" t="s">
        <v>48</v>
      </c>
      <c r="F19" s="72">
        <v>1</v>
      </c>
      <c r="G19" s="72"/>
      <c r="H19" s="72" t="s">
        <v>55</v>
      </c>
      <c r="I19" s="72"/>
      <c r="J19" s="72"/>
      <c r="K19" s="71" t="s">
        <v>282</v>
      </c>
      <c r="L19" s="72" t="s">
        <v>3</v>
      </c>
      <c r="M19" s="72" t="s">
        <v>283</v>
      </c>
      <c r="N19" s="113" t="s">
        <v>272</v>
      </c>
    </row>
    <row r="20" spans="2:15" ht="15.75">
      <c r="B20" s="5">
        <f>B10+1</f>
        <v>9</v>
      </c>
      <c r="C20" s="78" t="s">
        <v>291</v>
      </c>
      <c r="D20" s="112">
        <v>46001</v>
      </c>
      <c r="E20" s="72" t="s">
        <v>48</v>
      </c>
      <c r="F20" s="72">
        <v>1</v>
      </c>
      <c r="G20" s="72"/>
      <c r="H20" s="72" t="s">
        <v>55</v>
      </c>
      <c r="I20" s="72"/>
      <c r="J20" s="72"/>
      <c r="K20" s="71" t="s">
        <v>282</v>
      </c>
      <c r="L20" s="72" t="s">
        <v>3</v>
      </c>
      <c r="M20" s="72" t="s">
        <v>283</v>
      </c>
      <c r="N20" s="113" t="s">
        <v>272</v>
      </c>
    </row>
    <row r="21" spans="2:15" ht="15.75">
      <c r="B21" s="5">
        <f>B19+1</f>
        <v>19</v>
      </c>
      <c r="C21" s="106" t="s">
        <v>292</v>
      </c>
      <c r="D21" s="110">
        <v>45971</v>
      </c>
      <c r="E21" s="108" t="s">
        <v>48</v>
      </c>
      <c r="F21" s="108">
        <v>1</v>
      </c>
      <c r="G21" s="108" t="s">
        <v>293</v>
      </c>
      <c r="H21" s="75" t="s">
        <v>57</v>
      </c>
      <c r="I21" s="108"/>
      <c r="J21" s="108"/>
      <c r="K21" s="107"/>
      <c r="L21" s="75" t="s">
        <v>294</v>
      </c>
      <c r="M21" s="76" t="s">
        <v>295</v>
      </c>
      <c r="N21" s="76" t="s">
        <v>272</v>
      </c>
    </row>
    <row r="22" spans="2:15" ht="15.75">
      <c r="B22" s="5">
        <f t="shared" si="0"/>
        <v>20</v>
      </c>
      <c r="C22" s="106" t="s">
        <v>296</v>
      </c>
      <c r="D22" s="110">
        <v>45971</v>
      </c>
      <c r="E22" s="108" t="s">
        <v>48</v>
      </c>
      <c r="F22" s="108">
        <v>1</v>
      </c>
      <c r="G22" s="108" t="s">
        <v>293</v>
      </c>
      <c r="H22" s="75" t="s">
        <v>57</v>
      </c>
      <c r="I22" s="108"/>
      <c r="J22" s="108"/>
      <c r="K22" s="107"/>
      <c r="L22" s="75" t="s">
        <v>294</v>
      </c>
      <c r="M22" s="76" t="s">
        <v>295</v>
      </c>
      <c r="N22" s="76" t="s">
        <v>272</v>
      </c>
    </row>
    <row r="23" spans="2:15" ht="15.75">
      <c r="B23" s="5">
        <f t="shared" si="0"/>
        <v>21</v>
      </c>
      <c r="C23" s="106" t="s">
        <v>297</v>
      </c>
      <c r="D23" s="110">
        <v>45971</v>
      </c>
      <c r="E23" s="108" t="s">
        <v>48</v>
      </c>
      <c r="F23" s="108">
        <v>1</v>
      </c>
      <c r="G23" s="108" t="s">
        <v>293</v>
      </c>
      <c r="H23" s="75" t="s">
        <v>57</v>
      </c>
      <c r="I23" s="108"/>
      <c r="J23" s="108"/>
      <c r="K23" s="107"/>
      <c r="L23" s="75" t="s">
        <v>294</v>
      </c>
      <c r="M23" s="76" t="s">
        <v>295</v>
      </c>
      <c r="N23" s="76" t="s">
        <v>272</v>
      </c>
    </row>
    <row r="24" spans="2:15" ht="15.75">
      <c r="B24" s="5">
        <f t="shared" si="0"/>
        <v>22</v>
      </c>
      <c r="C24" s="106" t="s">
        <v>298</v>
      </c>
      <c r="D24" s="110">
        <v>45971</v>
      </c>
      <c r="E24" s="108" t="s">
        <v>48</v>
      </c>
      <c r="F24" s="108">
        <v>1</v>
      </c>
      <c r="G24" s="108" t="s">
        <v>293</v>
      </c>
      <c r="H24" s="75" t="s">
        <v>57</v>
      </c>
      <c r="I24" s="108"/>
      <c r="J24" s="108"/>
      <c r="K24" s="107"/>
      <c r="L24" s="75" t="s">
        <v>294</v>
      </c>
      <c r="M24" s="76" t="s">
        <v>295</v>
      </c>
      <c r="N24" s="76" t="s">
        <v>272</v>
      </c>
    </row>
    <row r="25" spans="2:15" ht="15.75" customHeight="1">
      <c r="B25" s="5">
        <f t="shared" si="0"/>
        <v>23</v>
      </c>
      <c r="C25" s="106" t="s">
        <v>299</v>
      </c>
      <c r="D25" s="110">
        <v>45971</v>
      </c>
      <c r="E25" s="108" t="s">
        <v>48</v>
      </c>
      <c r="F25" s="108">
        <v>1</v>
      </c>
      <c r="G25" s="108" t="s">
        <v>293</v>
      </c>
      <c r="H25" s="75" t="s">
        <v>57</v>
      </c>
      <c r="I25" s="108"/>
      <c r="J25" s="108"/>
      <c r="K25" s="107"/>
      <c r="L25" s="75" t="s">
        <v>294</v>
      </c>
      <c r="M25" s="76" t="s">
        <v>295</v>
      </c>
      <c r="N25" s="76" t="s">
        <v>272</v>
      </c>
    </row>
    <row r="26" spans="2:15" ht="15.75" customHeight="1">
      <c r="B26" s="5">
        <f t="shared" si="0"/>
        <v>24</v>
      </c>
      <c r="C26" s="106" t="s">
        <v>300</v>
      </c>
      <c r="D26" s="110">
        <v>45971</v>
      </c>
      <c r="E26" s="108" t="s">
        <v>48</v>
      </c>
      <c r="F26" s="108">
        <v>1</v>
      </c>
      <c r="G26" s="108" t="s">
        <v>293</v>
      </c>
      <c r="H26" s="75" t="s">
        <v>57</v>
      </c>
      <c r="I26" s="108"/>
      <c r="J26" s="108"/>
      <c r="K26" s="107"/>
      <c r="L26" s="75" t="s">
        <v>294</v>
      </c>
      <c r="M26" s="76" t="s">
        <v>295</v>
      </c>
      <c r="N26" s="76" t="s">
        <v>272</v>
      </c>
    </row>
    <row r="27" spans="2:15" ht="15.75" customHeight="1">
      <c r="B27" s="5">
        <f t="shared" si="0"/>
        <v>25</v>
      </c>
      <c r="C27" s="106" t="s">
        <v>301</v>
      </c>
      <c r="D27" s="110">
        <v>45971</v>
      </c>
      <c r="E27" s="108" t="s">
        <v>48</v>
      </c>
      <c r="F27" s="108">
        <v>1</v>
      </c>
      <c r="G27" s="108" t="s">
        <v>293</v>
      </c>
      <c r="H27" s="75" t="s">
        <v>57</v>
      </c>
      <c r="I27" s="108"/>
      <c r="J27" s="108"/>
      <c r="K27" s="107"/>
      <c r="L27" s="75" t="s">
        <v>294</v>
      </c>
      <c r="M27" s="76" t="s">
        <v>295</v>
      </c>
      <c r="N27" s="76" t="s">
        <v>272</v>
      </c>
    </row>
    <row r="28" spans="2:15" ht="15.75">
      <c r="B28" s="5">
        <f t="shared" si="0"/>
        <v>26</v>
      </c>
      <c r="C28" s="106" t="s">
        <v>302</v>
      </c>
      <c r="D28" s="110">
        <v>45971</v>
      </c>
      <c r="E28" s="108" t="s">
        <v>48</v>
      </c>
      <c r="F28" s="108">
        <v>1</v>
      </c>
      <c r="G28" s="108" t="s">
        <v>293</v>
      </c>
      <c r="H28" s="75" t="s">
        <v>57</v>
      </c>
      <c r="I28" s="108"/>
      <c r="J28" s="108"/>
      <c r="K28" s="107"/>
      <c r="L28" s="75" t="s">
        <v>294</v>
      </c>
      <c r="M28" s="76" t="s">
        <v>295</v>
      </c>
      <c r="N28" s="76" t="s">
        <v>272</v>
      </c>
    </row>
    <row r="29" spans="2:15" ht="15.75">
      <c r="B29" s="5">
        <f t="shared" si="0"/>
        <v>27</v>
      </c>
      <c r="C29" s="106" t="s">
        <v>303</v>
      </c>
      <c r="D29" s="110">
        <v>45971</v>
      </c>
      <c r="E29" s="108" t="s">
        <v>48</v>
      </c>
      <c r="F29" s="108">
        <v>1</v>
      </c>
      <c r="G29" s="108" t="s">
        <v>293</v>
      </c>
      <c r="H29" s="75" t="s">
        <v>57</v>
      </c>
      <c r="I29" s="108"/>
      <c r="J29" s="108"/>
      <c r="K29" s="107"/>
      <c r="L29" s="75" t="s">
        <v>294</v>
      </c>
      <c r="M29" s="76" t="s">
        <v>295</v>
      </c>
      <c r="N29" s="76" t="s">
        <v>272</v>
      </c>
      <c r="O29" s="6">
        <v>3</v>
      </c>
    </row>
    <row r="30" spans="2:15" ht="15.75">
      <c r="B30" s="5">
        <f t="shared" si="0"/>
        <v>28</v>
      </c>
      <c r="C30" s="79" t="s">
        <v>58</v>
      </c>
      <c r="D30" s="110">
        <v>45971</v>
      </c>
      <c r="E30" s="75" t="s">
        <v>48</v>
      </c>
      <c r="F30" s="108">
        <v>1</v>
      </c>
      <c r="G30" s="108" t="s">
        <v>293</v>
      </c>
      <c r="H30" s="75" t="s">
        <v>57</v>
      </c>
      <c r="I30" s="75"/>
      <c r="J30" s="75"/>
      <c r="K30" s="74"/>
      <c r="L30" s="75" t="s">
        <v>294</v>
      </c>
      <c r="M30" s="76" t="s">
        <v>295</v>
      </c>
      <c r="N30" s="76" t="s">
        <v>272</v>
      </c>
    </row>
    <row r="31" spans="2:15" ht="15.75">
      <c r="B31" s="5">
        <f t="shared" si="0"/>
        <v>29</v>
      </c>
      <c r="C31" s="79" t="s">
        <v>304</v>
      </c>
      <c r="D31" s="110">
        <v>45971</v>
      </c>
      <c r="E31" s="75" t="s">
        <v>48</v>
      </c>
      <c r="F31" s="108">
        <v>1</v>
      </c>
      <c r="G31" s="108" t="s">
        <v>293</v>
      </c>
      <c r="H31" s="75" t="s">
        <v>57</v>
      </c>
      <c r="I31" s="75"/>
      <c r="J31" s="75"/>
      <c r="K31" s="74"/>
      <c r="L31" s="75" t="s">
        <v>294</v>
      </c>
      <c r="M31" s="76" t="s">
        <v>295</v>
      </c>
      <c r="N31" s="76" t="s">
        <v>272</v>
      </c>
    </row>
    <row r="32" spans="2:15" ht="15.75">
      <c r="B32" s="5">
        <f>B30+1</f>
        <v>29</v>
      </c>
      <c r="C32" s="79" t="s">
        <v>305</v>
      </c>
      <c r="D32" s="110">
        <v>45971</v>
      </c>
      <c r="E32" s="75" t="s">
        <v>48</v>
      </c>
      <c r="F32" s="108">
        <v>1</v>
      </c>
      <c r="G32" s="108" t="s">
        <v>293</v>
      </c>
      <c r="H32" s="75" t="s">
        <v>57</v>
      </c>
      <c r="I32" s="75"/>
      <c r="J32" s="75"/>
      <c r="K32" s="74"/>
      <c r="L32" s="75" t="s">
        <v>294</v>
      </c>
      <c r="M32" s="76" t="s">
        <v>295</v>
      </c>
      <c r="N32" s="76" t="s">
        <v>272</v>
      </c>
    </row>
    <row r="33" spans="2:17" ht="15.75">
      <c r="B33" s="5">
        <f>B31+1</f>
        <v>30</v>
      </c>
      <c r="C33" s="79" t="s">
        <v>306</v>
      </c>
      <c r="D33" s="110">
        <v>45971</v>
      </c>
      <c r="E33" s="75" t="s">
        <v>48</v>
      </c>
      <c r="F33" s="108">
        <v>1</v>
      </c>
      <c r="G33" s="108" t="s">
        <v>293</v>
      </c>
      <c r="H33" s="75" t="s">
        <v>57</v>
      </c>
      <c r="I33" s="75"/>
      <c r="J33" s="75"/>
      <c r="K33" s="74"/>
      <c r="L33" s="75" t="s">
        <v>294</v>
      </c>
      <c r="M33" s="76" t="s">
        <v>295</v>
      </c>
      <c r="N33" s="76" t="s">
        <v>272</v>
      </c>
    </row>
    <row r="34" spans="2:17" ht="15.75">
      <c r="B34" s="5">
        <f t="shared" si="0"/>
        <v>31</v>
      </c>
      <c r="C34" s="79" t="s">
        <v>307</v>
      </c>
      <c r="D34" s="110">
        <v>45971</v>
      </c>
      <c r="E34" s="75" t="s">
        <v>48</v>
      </c>
      <c r="F34" s="108">
        <v>1</v>
      </c>
      <c r="G34" s="108" t="s">
        <v>293</v>
      </c>
      <c r="H34" s="75" t="s">
        <v>57</v>
      </c>
      <c r="I34" s="75"/>
      <c r="J34" s="75"/>
      <c r="K34" s="74"/>
      <c r="L34" s="75" t="s">
        <v>294</v>
      </c>
      <c r="M34" s="76" t="s">
        <v>295</v>
      </c>
      <c r="N34" s="76" t="s">
        <v>272</v>
      </c>
    </row>
    <row r="35" spans="2:17" ht="15.75">
      <c r="B35" s="5">
        <f t="shared" si="0"/>
        <v>32</v>
      </c>
      <c r="C35" s="79" t="s">
        <v>308</v>
      </c>
      <c r="D35" s="110">
        <v>45971</v>
      </c>
      <c r="E35" s="75" t="s">
        <v>48</v>
      </c>
      <c r="F35" s="108">
        <v>1</v>
      </c>
      <c r="G35" s="108" t="s">
        <v>293</v>
      </c>
      <c r="H35" s="75" t="s">
        <v>57</v>
      </c>
      <c r="I35" s="75"/>
      <c r="J35" s="75"/>
      <c r="K35" s="74"/>
      <c r="L35" s="75" t="s">
        <v>294</v>
      </c>
      <c r="M35" s="76" t="s">
        <v>295</v>
      </c>
      <c r="N35" s="76" t="s">
        <v>272</v>
      </c>
    </row>
    <row r="36" spans="2:17" ht="15.75">
      <c r="B36" s="5">
        <f t="shared" si="0"/>
        <v>33</v>
      </c>
      <c r="C36" s="79" t="s">
        <v>309</v>
      </c>
      <c r="D36" s="110">
        <v>45971</v>
      </c>
      <c r="E36" s="75" t="s">
        <v>48</v>
      </c>
      <c r="F36" s="108">
        <v>1</v>
      </c>
      <c r="G36" s="108" t="s">
        <v>293</v>
      </c>
      <c r="H36" s="75" t="s">
        <v>57</v>
      </c>
      <c r="I36" s="75"/>
      <c r="J36" s="75"/>
      <c r="K36" s="74"/>
      <c r="L36" s="75" t="s">
        <v>294</v>
      </c>
      <c r="M36" s="76" t="s">
        <v>295</v>
      </c>
      <c r="N36" s="76" t="s">
        <v>272</v>
      </c>
      <c r="O36" s="6">
        <v>3</v>
      </c>
      <c r="Q36" s="27"/>
    </row>
    <row r="37" spans="2:17" ht="15">
      <c r="B37" s="61">
        <f>COUNT(B3:B36)</f>
        <v>34</v>
      </c>
      <c r="C37" s="62"/>
      <c r="D37" s="62"/>
      <c r="E37" s="80">
        <f>COUNT(E3:E36)</f>
        <v>0</v>
      </c>
      <c r="F37" s="80">
        <f>COUNT(F12:F36)</f>
        <v>25</v>
      </c>
      <c r="G37" s="80">
        <f>SUM(G3:G36)</f>
        <v>8</v>
      </c>
      <c r="H37" s="63"/>
      <c r="I37" s="63"/>
      <c r="J37" s="63"/>
      <c r="K37" s="64"/>
      <c r="L37" s="63"/>
      <c r="M37" s="63"/>
      <c r="N37" s="6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5C081-DDC3-4A87-AEB9-ADA0865E3B56}">
  <dimension ref="A1:Q25"/>
  <sheetViews>
    <sheetView workbookViewId="0">
      <selection activeCell="G14" sqref="G14"/>
    </sheetView>
  </sheetViews>
  <sheetFormatPr defaultRowHeight="15"/>
  <cols>
    <col min="3" max="3" width="32.140625" bestFit="1" customWidth="1"/>
    <col min="4" max="4" width="22.28515625" customWidth="1"/>
  </cols>
  <sheetData>
    <row r="1" spans="1:17">
      <c r="A1" s="6"/>
      <c r="B1" s="9"/>
      <c r="C1" s="26"/>
      <c r="D1" s="26"/>
      <c r="E1" s="56"/>
      <c r="F1" s="56"/>
      <c r="G1" s="56"/>
      <c r="H1" s="6"/>
      <c r="I1" s="6"/>
      <c r="J1" s="6"/>
      <c r="K1" s="6"/>
      <c r="L1" s="6"/>
      <c r="M1" s="6"/>
      <c r="N1" s="25"/>
      <c r="O1" s="6"/>
      <c r="P1" s="6"/>
      <c r="Q1" s="6"/>
    </row>
    <row r="2" spans="1:17">
      <c r="A2" s="6"/>
      <c r="B2" s="9"/>
      <c r="C2" s="10" t="s">
        <v>38</v>
      </c>
      <c r="D2" s="66" t="s">
        <v>173</v>
      </c>
      <c r="E2" s="66" t="s">
        <v>174</v>
      </c>
      <c r="F2" s="66" t="s">
        <v>175</v>
      </c>
      <c r="G2" s="66" t="s">
        <v>176</v>
      </c>
      <c r="H2" s="66" t="s">
        <v>40</v>
      </c>
      <c r="I2" s="66" t="s">
        <v>41</v>
      </c>
      <c r="J2" s="66" t="s">
        <v>42</v>
      </c>
      <c r="K2" s="66" t="s">
        <v>43</v>
      </c>
      <c r="L2" s="66" t="s">
        <v>44</v>
      </c>
      <c r="M2" s="66" t="s">
        <v>45</v>
      </c>
      <c r="N2" s="66" t="s">
        <v>46</v>
      </c>
      <c r="O2" s="6"/>
      <c r="P2" s="6"/>
      <c r="Q2" s="6"/>
    </row>
    <row r="3" spans="1:17" ht="15.75">
      <c r="A3" s="6"/>
      <c r="B3" s="5">
        <v>1</v>
      </c>
      <c r="C3" s="77" t="s">
        <v>310</v>
      </c>
      <c r="D3" s="109">
        <v>45971</v>
      </c>
      <c r="E3" s="68" t="s">
        <v>48</v>
      </c>
      <c r="F3" s="68">
        <v>0</v>
      </c>
      <c r="G3" s="68">
        <v>1</v>
      </c>
      <c r="H3" s="68" t="s">
        <v>55</v>
      </c>
      <c r="I3" s="68"/>
      <c r="J3" s="68"/>
      <c r="K3" s="67" t="s">
        <v>50</v>
      </c>
      <c r="L3" s="69" t="s">
        <v>3</v>
      </c>
      <c r="M3" s="69" t="s">
        <v>51</v>
      </c>
      <c r="N3" s="111" t="s">
        <v>272</v>
      </c>
      <c r="O3" s="6"/>
      <c r="P3" s="6"/>
      <c r="Q3" s="6"/>
    </row>
    <row r="4" spans="1:17" ht="15.75">
      <c r="A4" s="6"/>
      <c r="B4" s="5">
        <f t="shared" ref="B4:B13" si="0">B3+1</f>
        <v>2</v>
      </c>
      <c r="C4" s="77" t="s">
        <v>311</v>
      </c>
      <c r="D4" s="109">
        <v>45971</v>
      </c>
      <c r="E4" s="68" t="s">
        <v>48</v>
      </c>
      <c r="F4" s="68">
        <v>0</v>
      </c>
      <c r="G4" s="68">
        <v>1</v>
      </c>
      <c r="H4" s="68" t="s">
        <v>55</v>
      </c>
      <c r="I4" s="68"/>
      <c r="J4" s="68"/>
      <c r="K4" s="67" t="s">
        <v>50</v>
      </c>
      <c r="L4" s="68" t="s">
        <v>3</v>
      </c>
      <c r="M4" s="68" t="s">
        <v>51</v>
      </c>
      <c r="N4" s="111" t="s">
        <v>272</v>
      </c>
      <c r="O4" s="6"/>
      <c r="P4" s="6"/>
      <c r="Q4" s="6"/>
    </row>
    <row r="5" spans="1:17" ht="15.75">
      <c r="A5" s="6"/>
      <c r="B5" s="5">
        <f t="shared" si="0"/>
        <v>3</v>
      </c>
      <c r="C5" s="77" t="s">
        <v>312</v>
      </c>
      <c r="D5" s="109">
        <v>45971</v>
      </c>
      <c r="E5" s="68" t="s">
        <v>48</v>
      </c>
      <c r="F5" s="68">
        <v>0</v>
      </c>
      <c r="G5" s="68">
        <v>1</v>
      </c>
      <c r="H5" s="68" t="s">
        <v>55</v>
      </c>
      <c r="I5" s="68"/>
      <c r="J5" s="68"/>
      <c r="K5" s="67" t="s">
        <v>50</v>
      </c>
      <c r="L5" s="68" t="s">
        <v>3</v>
      </c>
      <c r="M5" s="68" t="s">
        <v>51</v>
      </c>
      <c r="N5" s="111" t="s">
        <v>272</v>
      </c>
      <c r="O5" s="6"/>
      <c r="P5" s="6"/>
      <c r="Q5" s="6"/>
    </row>
    <row r="6" spans="1:17" ht="15.75">
      <c r="A6" s="6"/>
      <c r="B6" s="5">
        <f t="shared" si="0"/>
        <v>4</v>
      </c>
      <c r="C6" s="77" t="s">
        <v>313</v>
      </c>
      <c r="D6" s="109">
        <v>45971</v>
      </c>
      <c r="E6" s="68" t="s">
        <v>48</v>
      </c>
      <c r="F6" s="68">
        <v>0</v>
      </c>
      <c r="G6" s="68">
        <v>1</v>
      </c>
      <c r="H6" s="68" t="s">
        <v>82</v>
      </c>
      <c r="I6" s="68"/>
      <c r="J6" s="68"/>
      <c r="K6" s="67" t="s">
        <v>50</v>
      </c>
      <c r="L6" s="68" t="s">
        <v>3</v>
      </c>
      <c r="M6" s="68" t="s">
        <v>51</v>
      </c>
      <c r="N6" s="111" t="s">
        <v>272</v>
      </c>
      <c r="O6" s="6"/>
      <c r="P6" s="6"/>
      <c r="Q6" s="6"/>
    </row>
    <row r="7" spans="1:17" ht="15.75">
      <c r="A7" s="6"/>
      <c r="B7" s="5">
        <f t="shared" si="0"/>
        <v>5</v>
      </c>
      <c r="C7" s="77" t="s">
        <v>314</v>
      </c>
      <c r="D7" s="109">
        <v>45971</v>
      </c>
      <c r="E7" s="68" t="s">
        <v>48</v>
      </c>
      <c r="F7" s="68">
        <v>0</v>
      </c>
      <c r="G7" s="68">
        <v>1</v>
      </c>
      <c r="H7" s="68" t="s">
        <v>82</v>
      </c>
      <c r="I7" s="68"/>
      <c r="J7" s="68"/>
      <c r="K7" s="67" t="s">
        <v>50</v>
      </c>
      <c r="L7" s="68" t="s">
        <v>3</v>
      </c>
      <c r="M7" s="68" t="s">
        <v>51</v>
      </c>
      <c r="N7" s="111" t="s">
        <v>272</v>
      </c>
      <c r="O7" s="6"/>
      <c r="P7" s="6"/>
      <c r="Q7" s="6"/>
    </row>
    <row r="8" spans="1:17" ht="15.75">
      <c r="A8" s="6"/>
      <c r="B8" s="5">
        <f t="shared" si="0"/>
        <v>6</v>
      </c>
      <c r="C8" s="77" t="s">
        <v>315</v>
      </c>
      <c r="D8" s="109">
        <v>45971</v>
      </c>
      <c r="E8" s="68" t="s">
        <v>48</v>
      </c>
      <c r="F8" s="68">
        <v>0</v>
      </c>
      <c r="G8" s="68">
        <v>1</v>
      </c>
      <c r="H8" s="68" t="s">
        <v>82</v>
      </c>
      <c r="I8" s="68"/>
      <c r="J8" s="68"/>
      <c r="K8" s="67" t="s">
        <v>50</v>
      </c>
      <c r="L8" s="68" t="s">
        <v>3</v>
      </c>
      <c r="M8" s="68" t="s">
        <v>51</v>
      </c>
      <c r="N8" s="111" t="s">
        <v>272</v>
      </c>
      <c r="O8" s="6"/>
      <c r="P8" s="6"/>
      <c r="Q8" s="6"/>
    </row>
    <row r="9" spans="1:17" ht="15.75">
      <c r="A9" s="6"/>
      <c r="B9" s="5">
        <f t="shared" si="0"/>
        <v>7</v>
      </c>
      <c r="C9" s="77" t="s">
        <v>316</v>
      </c>
      <c r="D9" s="109">
        <v>45971</v>
      </c>
      <c r="E9" s="68" t="s">
        <v>48</v>
      </c>
      <c r="F9" s="68">
        <v>0</v>
      </c>
      <c r="G9" s="68">
        <v>1</v>
      </c>
      <c r="H9" s="68" t="s">
        <v>194</v>
      </c>
      <c r="I9" s="68"/>
      <c r="J9" s="68"/>
      <c r="K9" s="67" t="s">
        <v>50</v>
      </c>
      <c r="L9" s="68" t="s">
        <v>3</v>
      </c>
      <c r="M9" s="68" t="s">
        <v>51</v>
      </c>
      <c r="N9" s="111" t="s">
        <v>272</v>
      </c>
      <c r="O9" s="6"/>
      <c r="P9" s="6"/>
      <c r="Q9" s="6"/>
    </row>
    <row r="10" spans="1:17" ht="15.75">
      <c r="A10" s="6"/>
      <c r="B10" s="5">
        <f t="shared" si="0"/>
        <v>8</v>
      </c>
      <c r="C10" s="77" t="s">
        <v>317</v>
      </c>
      <c r="D10" s="109">
        <v>45971</v>
      </c>
      <c r="E10" s="68" t="s">
        <v>48</v>
      </c>
      <c r="F10" s="68">
        <v>0</v>
      </c>
      <c r="G10" s="68">
        <v>1</v>
      </c>
      <c r="H10" s="68" t="s">
        <v>49</v>
      </c>
      <c r="I10" s="68"/>
      <c r="J10" s="68"/>
      <c r="K10" s="67" t="s">
        <v>50</v>
      </c>
      <c r="L10" s="68" t="s">
        <v>3</v>
      </c>
      <c r="M10" s="68" t="s">
        <v>51</v>
      </c>
      <c r="N10" s="111" t="s">
        <v>272</v>
      </c>
      <c r="O10" s="6"/>
      <c r="P10" s="6"/>
      <c r="Q10" s="6"/>
    </row>
    <row r="11" spans="1:17" ht="15.75">
      <c r="A11" s="6"/>
      <c r="B11" s="5">
        <v>9</v>
      </c>
      <c r="C11" s="77" t="s">
        <v>318</v>
      </c>
      <c r="D11" s="109">
        <v>45971</v>
      </c>
      <c r="E11" s="68" t="s">
        <v>48</v>
      </c>
      <c r="F11" s="68">
        <v>0</v>
      </c>
      <c r="G11" s="68">
        <v>1</v>
      </c>
      <c r="H11" s="68" t="s">
        <v>55</v>
      </c>
      <c r="I11" s="68"/>
      <c r="J11" s="68"/>
      <c r="K11" s="67" t="s">
        <v>50</v>
      </c>
      <c r="L11" s="68" t="s">
        <v>3</v>
      </c>
      <c r="M11" s="68" t="s">
        <v>51</v>
      </c>
      <c r="N11" s="111" t="s">
        <v>272</v>
      </c>
      <c r="O11" s="6"/>
      <c r="P11" s="6"/>
      <c r="Q11" s="6"/>
    </row>
    <row r="12" spans="1:17" ht="15.75">
      <c r="A12" s="6"/>
      <c r="B12" s="5">
        <f t="shared" si="0"/>
        <v>10</v>
      </c>
      <c r="C12" s="114" t="s">
        <v>300</v>
      </c>
      <c r="D12" s="115">
        <v>45971</v>
      </c>
      <c r="E12" s="116" t="s">
        <v>48</v>
      </c>
      <c r="F12" s="116">
        <v>0</v>
      </c>
      <c r="G12" s="116">
        <v>1</v>
      </c>
      <c r="H12" s="116" t="s">
        <v>55</v>
      </c>
      <c r="I12" s="116"/>
      <c r="J12" s="116"/>
      <c r="K12" s="117" t="s">
        <v>282</v>
      </c>
      <c r="L12" s="116" t="s">
        <v>3</v>
      </c>
      <c r="M12" s="116" t="s">
        <v>283</v>
      </c>
      <c r="N12" s="118" t="s">
        <v>272</v>
      </c>
      <c r="O12" s="6"/>
      <c r="P12" s="6"/>
      <c r="Q12" s="6"/>
    </row>
    <row r="13" spans="1:17" ht="15.75">
      <c r="A13" s="6"/>
      <c r="B13" s="5">
        <f t="shared" si="0"/>
        <v>11</v>
      </c>
      <c r="C13" s="114" t="s">
        <v>319</v>
      </c>
      <c r="D13" s="115">
        <v>45971</v>
      </c>
      <c r="E13" s="116" t="s">
        <v>48</v>
      </c>
      <c r="F13" s="116">
        <v>0</v>
      </c>
      <c r="G13" s="116">
        <v>1</v>
      </c>
      <c r="H13" s="116" t="s">
        <v>55</v>
      </c>
      <c r="I13" s="116"/>
      <c r="J13" s="116"/>
      <c r="K13" s="117" t="s">
        <v>282</v>
      </c>
      <c r="L13" s="116" t="s">
        <v>3</v>
      </c>
      <c r="M13" s="116" t="s">
        <v>283</v>
      </c>
      <c r="N13" s="118" t="s">
        <v>272</v>
      </c>
      <c r="O13" s="6"/>
      <c r="P13" s="6"/>
      <c r="Q13" s="6"/>
    </row>
    <row r="14" spans="1:17">
      <c r="A14" s="6"/>
      <c r="B14" s="61">
        <f>COUNT(B3:B13)</f>
        <v>11</v>
      </c>
      <c r="C14" s="62"/>
      <c r="D14" s="62"/>
      <c r="E14" s="80">
        <f>COUNT(E3:E13)</f>
        <v>0</v>
      </c>
      <c r="F14" s="80">
        <v>0</v>
      </c>
      <c r="G14" s="80">
        <f>SUM(G3:G13)</f>
        <v>11</v>
      </c>
      <c r="H14" s="63"/>
      <c r="I14" s="63"/>
      <c r="J14" s="63"/>
      <c r="K14" s="64"/>
      <c r="L14" s="63"/>
      <c r="M14" s="63"/>
      <c r="N14" s="65"/>
      <c r="O14" s="6"/>
      <c r="P14" s="6"/>
      <c r="Q14" s="6"/>
    </row>
    <row r="15" spans="1:17">
      <c r="A15" s="6"/>
      <c r="B15" s="9"/>
      <c r="C15" s="26"/>
      <c r="D15" s="26"/>
      <c r="E15" s="56"/>
      <c r="F15" s="56"/>
      <c r="G15" s="56"/>
      <c r="H15" s="6"/>
      <c r="I15" s="6"/>
      <c r="J15" s="6"/>
      <c r="K15" s="6"/>
      <c r="L15" s="6"/>
      <c r="M15" s="6"/>
      <c r="N15" s="25"/>
      <c r="O15" s="6"/>
      <c r="P15" s="6"/>
      <c r="Q15" s="6"/>
    </row>
    <row r="16" spans="1:17">
      <c r="A16" s="6"/>
      <c r="B16" s="9"/>
      <c r="C16" s="26"/>
      <c r="D16" s="26"/>
      <c r="E16" s="56"/>
      <c r="F16" s="56"/>
      <c r="G16" s="56"/>
      <c r="H16" s="6"/>
      <c r="I16" s="6"/>
      <c r="J16" s="6"/>
      <c r="K16" s="6"/>
      <c r="L16" s="6"/>
      <c r="M16" s="6"/>
      <c r="N16" s="25"/>
      <c r="O16" s="6"/>
      <c r="P16" s="6"/>
      <c r="Q16" s="6"/>
    </row>
    <row r="17" spans="1:17">
      <c r="A17" s="6"/>
      <c r="B17" s="9"/>
      <c r="C17" s="26"/>
      <c r="D17" s="26"/>
      <c r="E17" s="56"/>
      <c r="F17" s="56"/>
      <c r="G17" s="56"/>
      <c r="H17" s="6"/>
      <c r="I17" s="6"/>
      <c r="J17" s="6"/>
      <c r="K17" s="6"/>
      <c r="L17" s="6"/>
      <c r="M17" s="6"/>
      <c r="N17" s="25"/>
      <c r="O17" s="6"/>
      <c r="P17" s="6"/>
      <c r="Q17" s="6"/>
    </row>
    <row r="18" spans="1:17">
      <c r="A18" s="6"/>
      <c r="B18" s="9"/>
      <c r="C18" s="26"/>
      <c r="D18" s="26"/>
      <c r="E18" s="56"/>
      <c r="F18" s="56"/>
      <c r="G18" s="56"/>
      <c r="H18" s="6"/>
      <c r="I18" s="6"/>
      <c r="J18" s="6"/>
      <c r="K18" s="6"/>
      <c r="L18" s="6"/>
      <c r="M18" s="6"/>
      <c r="N18" s="25"/>
      <c r="O18" s="6"/>
      <c r="P18" s="6"/>
      <c r="Q18" s="6"/>
    </row>
    <row r="19" spans="1:17">
      <c r="A19" s="6"/>
      <c r="B19" s="9"/>
      <c r="C19" s="26"/>
      <c r="D19" s="26"/>
      <c r="E19" s="56"/>
      <c r="F19" s="56"/>
      <c r="G19" s="56"/>
      <c r="H19" s="6"/>
      <c r="I19" s="6"/>
      <c r="J19" s="6"/>
      <c r="K19" s="6"/>
      <c r="L19" s="6"/>
      <c r="M19" s="6"/>
      <c r="N19" s="25"/>
      <c r="O19" s="6"/>
      <c r="P19" s="6"/>
      <c r="Q19" s="6"/>
    </row>
    <row r="20" spans="1:17">
      <c r="A20" s="6"/>
      <c r="B20" s="9"/>
      <c r="C20" s="26"/>
      <c r="D20" s="26"/>
      <c r="E20" s="56"/>
      <c r="F20" s="56"/>
      <c r="G20" s="56"/>
      <c r="H20" s="6"/>
      <c r="I20" s="6"/>
      <c r="J20" s="6"/>
      <c r="K20" s="6"/>
      <c r="L20" s="6"/>
      <c r="M20" s="6"/>
      <c r="N20" s="25"/>
      <c r="O20" s="6"/>
      <c r="P20" s="6"/>
      <c r="Q20" s="6"/>
    </row>
    <row r="21" spans="1:17">
      <c r="A21" s="6"/>
      <c r="B21" s="9"/>
      <c r="C21" s="26"/>
      <c r="D21" s="26"/>
      <c r="E21" s="56"/>
      <c r="F21" s="56"/>
      <c r="G21" s="56"/>
      <c r="H21" s="6"/>
      <c r="I21" s="6"/>
      <c r="J21" s="6"/>
      <c r="K21" s="6"/>
      <c r="L21" s="6"/>
      <c r="M21" s="6"/>
      <c r="N21" s="25"/>
      <c r="O21" s="6"/>
      <c r="P21" s="6"/>
      <c r="Q21" s="6"/>
    </row>
    <row r="22" spans="1:17">
      <c r="A22" s="6"/>
      <c r="B22" s="9"/>
      <c r="C22" s="26"/>
      <c r="D22" s="26"/>
      <c r="E22" s="56"/>
      <c r="F22" s="56"/>
      <c r="G22" s="56"/>
      <c r="H22" s="6"/>
      <c r="I22" s="6"/>
      <c r="J22" s="6"/>
      <c r="K22" s="6"/>
      <c r="L22" s="6"/>
      <c r="M22" s="6"/>
      <c r="N22" s="25"/>
      <c r="O22" s="6"/>
      <c r="P22" s="6"/>
      <c r="Q22" s="6"/>
    </row>
    <row r="23" spans="1:17">
      <c r="A23" s="6"/>
      <c r="B23" s="9"/>
      <c r="C23" s="26"/>
      <c r="D23" s="26"/>
      <c r="E23" s="56"/>
      <c r="F23" s="56"/>
      <c r="G23" s="56"/>
      <c r="H23" s="6"/>
      <c r="I23" s="6"/>
      <c r="J23" s="6"/>
      <c r="K23" s="6"/>
      <c r="L23" s="6"/>
      <c r="M23" s="6"/>
      <c r="N23" s="25"/>
      <c r="O23" s="6"/>
      <c r="P23" s="6"/>
      <c r="Q23" s="6"/>
    </row>
    <row r="24" spans="1:17">
      <c r="A24" s="6"/>
      <c r="B24" s="9"/>
      <c r="C24" s="26"/>
      <c r="D24" s="26"/>
      <c r="E24" s="56"/>
      <c r="F24" s="56"/>
      <c r="G24" s="56"/>
      <c r="H24" s="6"/>
      <c r="I24" s="6"/>
      <c r="J24" s="6"/>
      <c r="K24" s="6"/>
      <c r="L24" s="6"/>
      <c r="M24" s="6"/>
      <c r="N24" s="25"/>
      <c r="O24" s="6"/>
      <c r="P24" s="6"/>
      <c r="Q24" s="6"/>
    </row>
    <row r="25" spans="1:17">
      <c r="A25" s="6"/>
      <c r="B25" s="9"/>
      <c r="C25" s="26"/>
      <c r="D25" s="26"/>
      <c r="E25" s="56"/>
      <c r="F25" s="56"/>
      <c r="G25" s="56"/>
      <c r="H25" s="6"/>
      <c r="I25" s="6"/>
      <c r="J25" s="6"/>
      <c r="K25" s="6"/>
      <c r="L25" s="6"/>
      <c r="M25" s="6"/>
      <c r="N25" s="25"/>
      <c r="O25" s="6"/>
      <c r="P25" s="6"/>
      <c r="Q25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0B734-13F7-4710-82E9-148CF080E247}">
  <dimension ref="A1:Q28"/>
  <sheetViews>
    <sheetView workbookViewId="0">
      <selection activeCell="G27" sqref="G27"/>
    </sheetView>
  </sheetViews>
  <sheetFormatPr defaultRowHeight="15"/>
  <cols>
    <col min="3" max="3" width="35.42578125" bestFit="1" customWidth="1"/>
    <col min="4" max="4" width="20.5703125" bestFit="1" customWidth="1"/>
  </cols>
  <sheetData>
    <row r="1" spans="1:17">
      <c r="A1" s="6"/>
      <c r="B1" s="9"/>
      <c r="C1" s="26"/>
      <c r="D1" s="26"/>
      <c r="E1" s="56"/>
      <c r="F1" s="56"/>
      <c r="G1" s="56"/>
      <c r="H1" s="6"/>
      <c r="I1" s="6"/>
      <c r="J1" s="6"/>
      <c r="K1" s="6"/>
      <c r="L1" s="6"/>
      <c r="M1" s="6"/>
      <c r="N1" s="25"/>
      <c r="O1" s="6"/>
      <c r="P1" s="6"/>
      <c r="Q1" s="6"/>
    </row>
    <row r="2" spans="1:17">
      <c r="A2" s="6"/>
      <c r="B2" s="9"/>
      <c r="C2" s="10" t="s">
        <v>38</v>
      </c>
      <c r="D2" s="66" t="s">
        <v>173</v>
      </c>
      <c r="E2" s="66" t="s">
        <v>174</v>
      </c>
      <c r="F2" s="66" t="s">
        <v>175</v>
      </c>
      <c r="G2" s="66" t="s">
        <v>176</v>
      </c>
      <c r="H2" s="66" t="s">
        <v>40</v>
      </c>
      <c r="I2" s="66" t="s">
        <v>41</v>
      </c>
      <c r="J2" s="66" t="s">
        <v>42</v>
      </c>
      <c r="K2" s="66" t="s">
        <v>43</v>
      </c>
      <c r="L2" s="66" t="s">
        <v>44</v>
      </c>
      <c r="M2" s="66" t="s">
        <v>45</v>
      </c>
      <c r="N2" s="66" t="s">
        <v>46</v>
      </c>
      <c r="O2" s="6"/>
      <c r="P2" s="6"/>
      <c r="Q2" s="6"/>
    </row>
    <row r="3" spans="1:17" ht="15.75">
      <c r="A3" s="6"/>
      <c r="B3" s="5">
        <v>1</v>
      </c>
      <c r="C3" s="77" t="s">
        <v>320</v>
      </c>
      <c r="D3" s="109">
        <v>46001</v>
      </c>
      <c r="E3" s="68">
        <v>0</v>
      </c>
      <c r="F3" s="68">
        <v>0</v>
      </c>
      <c r="G3" s="68">
        <v>1</v>
      </c>
      <c r="H3" s="68" t="s">
        <v>55</v>
      </c>
      <c r="I3" s="68"/>
      <c r="J3" s="68"/>
      <c r="K3" s="67"/>
      <c r="L3" s="69" t="s">
        <v>3</v>
      </c>
      <c r="M3" s="69" t="s">
        <v>51</v>
      </c>
      <c r="N3" s="70" t="s">
        <v>179</v>
      </c>
      <c r="O3" s="6"/>
      <c r="P3" s="6"/>
      <c r="Q3" s="6"/>
    </row>
    <row r="4" spans="1:17" ht="15.75">
      <c r="A4" s="6"/>
      <c r="B4" s="5">
        <f t="shared" ref="B4:B19" si="0">B3+1</f>
        <v>2</v>
      </c>
      <c r="C4" s="77" t="s">
        <v>321</v>
      </c>
      <c r="D4" s="109">
        <v>46001</v>
      </c>
      <c r="E4" s="68">
        <v>0</v>
      </c>
      <c r="F4" s="68">
        <v>0</v>
      </c>
      <c r="G4" s="68">
        <v>1</v>
      </c>
      <c r="H4" s="68" t="s">
        <v>55</v>
      </c>
      <c r="I4" s="68"/>
      <c r="J4" s="68"/>
      <c r="K4" s="67"/>
      <c r="L4" s="68" t="s">
        <v>3</v>
      </c>
      <c r="M4" s="68" t="s">
        <v>51</v>
      </c>
      <c r="N4" s="70" t="s">
        <v>179</v>
      </c>
      <c r="O4" s="6"/>
      <c r="P4" s="6"/>
      <c r="Q4" s="6"/>
    </row>
    <row r="5" spans="1:17" ht="15.75">
      <c r="A5" s="6"/>
      <c r="B5" s="5">
        <f t="shared" si="0"/>
        <v>3</v>
      </c>
      <c r="C5" s="77" t="s">
        <v>322</v>
      </c>
      <c r="D5" s="109">
        <v>46001</v>
      </c>
      <c r="E5" s="68">
        <v>1</v>
      </c>
      <c r="F5" s="68">
        <v>0</v>
      </c>
      <c r="G5" s="68">
        <v>0</v>
      </c>
      <c r="H5" s="68" t="s">
        <v>184</v>
      </c>
      <c r="I5" s="68"/>
      <c r="J5" s="68"/>
      <c r="K5" s="67"/>
      <c r="L5" s="68" t="s">
        <v>3</v>
      </c>
      <c r="M5" s="68" t="s">
        <v>51</v>
      </c>
      <c r="N5" s="70" t="s">
        <v>179</v>
      </c>
      <c r="O5" s="6"/>
      <c r="P5" s="6"/>
      <c r="Q5" s="6"/>
    </row>
    <row r="6" spans="1:17" ht="15.75">
      <c r="A6" s="6"/>
      <c r="B6" s="5">
        <f t="shared" si="0"/>
        <v>4</v>
      </c>
      <c r="C6" s="77" t="s">
        <v>213</v>
      </c>
      <c r="D6" s="109">
        <v>46001</v>
      </c>
      <c r="E6" s="68">
        <v>0</v>
      </c>
      <c r="F6" s="68">
        <v>0</v>
      </c>
      <c r="G6" s="68">
        <v>1</v>
      </c>
      <c r="H6" s="68" t="s">
        <v>55</v>
      </c>
      <c r="I6" s="68"/>
      <c r="J6" s="68"/>
      <c r="K6" s="67"/>
      <c r="L6" s="68" t="s">
        <v>3</v>
      </c>
      <c r="M6" s="68" t="s">
        <v>51</v>
      </c>
      <c r="N6" s="70" t="s">
        <v>179</v>
      </c>
      <c r="O6" s="6"/>
      <c r="P6" s="6"/>
      <c r="Q6" s="6"/>
    </row>
    <row r="7" spans="1:17" ht="15.75">
      <c r="A7" s="6"/>
      <c r="B7" s="5">
        <f t="shared" si="0"/>
        <v>5</v>
      </c>
      <c r="C7" s="77" t="s">
        <v>323</v>
      </c>
      <c r="D7" s="109">
        <v>46001</v>
      </c>
      <c r="E7" s="68">
        <v>0</v>
      </c>
      <c r="F7" s="68">
        <v>0</v>
      </c>
      <c r="G7" s="68">
        <v>1</v>
      </c>
      <c r="H7" s="68" t="s">
        <v>55</v>
      </c>
      <c r="I7" s="68"/>
      <c r="J7" s="68"/>
      <c r="K7" s="67"/>
      <c r="L7" s="68" t="s">
        <v>3</v>
      </c>
      <c r="M7" s="68" t="s">
        <v>51</v>
      </c>
      <c r="N7" s="70" t="s">
        <v>179</v>
      </c>
      <c r="O7" s="6"/>
      <c r="P7" s="6"/>
      <c r="Q7" s="6"/>
    </row>
    <row r="8" spans="1:17" ht="15.75">
      <c r="A8" s="6"/>
      <c r="B8" s="5">
        <f t="shared" si="0"/>
        <v>6</v>
      </c>
      <c r="C8" s="77" t="s">
        <v>324</v>
      </c>
      <c r="D8" s="109">
        <v>46001</v>
      </c>
      <c r="E8" s="68">
        <v>0</v>
      </c>
      <c r="F8" s="68">
        <v>0</v>
      </c>
      <c r="G8" s="68">
        <v>1</v>
      </c>
      <c r="H8" s="68" t="s">
        <v>55</v>
      </c>
      <c r="I8" s="68"/>
      <c r="J8" s="68"/>
      <c r="K8" s="67"/>
      <c r="L8" s="68" t="s">
        <v>3</v>
      </c>
      <c r="M8" s="68" t="s">
        <v>51</v>
      </c>
      <c r="N8" s="70" t="s">
        <v>179</v>
      </c>
      <c r="O8" s="6"/>
      <c r="P8" s="6"/>
      <c r="Q8" s="6"/>
    </row>
    <row r="9" spans="1:17" ht="15.75">
      <c r="A9" s="6"/>
      <c r="B9" s="5">
        <f t="shared" si="0"/>
        <v>7</v>
      </c>
      <c r="C9" s="77" t="s">
        <v>325</v>
      </c>
      <c r="D9" s="109">
        <v>46001</v>
      </c>
      <c r="E9" s="68">
        <v>0</v>
      </c>
      <c r="F9" s="68">
        <v>0</v>
      </c>
      <c r="G9" s="68">
        <v>1</v>
      </c>
      <c r="H9" s="68" t="s">
        <v>194</v>
      </c>
      <c r="I9" s="68"/>
      <c r="J9" s="68"/>
      <c r="K9" s="67"/>
      <c r="L9" s="68" t="s">
        <v>3</v>
      </c>
      <c r="M9" s="68" t="s">
        <v>51</v>
      </c>
      <c r="N9" s="70" t="s">
        <v>179</v>
      </c>
      <c r="O9" s="6"/>
      <c r="P9" s="6"/>
      <c r="Q9" s="6"/>
    </row>
    <row r="10" spans="1:17" ht="15.75">
      <c r="A10" s="6"/>
      <c r="B10" s="5">
        <f t="shared" si="0"/>
        <v>8</v>
      </c>
      <c r="C10" s="77" t="s">
        <v>326</v>
      </c>
      <c r="D10" s="109">
        <v>46001</v>
      </c>
      <c r="E10" s="68">
        <v>0</v>
      </c>
      <c r="F10" s="68">
        <v>0</v>
      </c>
      <c r="G10" s="68">
        <v>1</v>
      </c>
      <c r="H10" s="68" t="s">
        <v>55</v>
      </c>
      <c r="I10" s="68"/>
      <c r="J10" s="68"/>
      <c r="K10" s="67"/>
      <c r="L10" s="68" t="s">
        <v>3</v>
      </c>
      <c r="M10" s="68" t="s">
        <v>51</v>
      </c>
      <c r="N10" s="70" t="s">
        <v>179</v>
      </c>
      <c r="O10" s="6"/>
      <c r="P10" s="6"/>
      <c r="Q10" s="6"/>
    </row>
    <row r="11" spans="1:17" ht="15.75">
      <c r="A11" s="6"/>
      <c r="B11" s="5">
        <v>9</v>
      </c>
      <c r="C11" s="77" t="s">
        <v>327</v>
      </c>
      <c r="D11" s="109">
        <v>46001</v>
      </c>
      <c r="E11" s="68">
        <v>0</v>
      </c>
      <c r="F11" s="68">
        <v>0</v>
      </c>
      <c r="G11" s="68">
        <v>1</v>
      </c>
      <c r="H11" s="68" t="s">
        <v>55</v>
      </c>
      <c r="I11" s="68"/>
      <c r="J11" s="68"/>
      <c r="K11" s="67"/>
      <c r="L11" s="68" t="s">
        <v>3</v>
      </c>
      <c r="M11" s="68" t="s">
        <v>51</v>
      </c>
      <c r="N11" s="70" t="s">
        <v>179</v>
      </c>
      <c r="O11" s="6"/>
      <c r="P11" s="6"/>
      <c r="Q11" s="6"/>
    </row>
    <row r="12" spans="1:17" ht="15.75">
      <c r="A12" s="6"/>
      <c r="B12" s="5">
        <v>10</v>
      </c>
      <c r="C12" s="77" t="s">
        <v>328</v>
      </c>
      <c r="D12" s="109">
        <v>46001</v>
      </c>
      <c r="E12" s="68">
        <v>0</v>
      </c>
      <c r="F12" s="68">
        <v>0</v>
      </c>
      <c r="G12" s="68">
        <v>1</v>
      </c>
      <c r="H12" s="68" t="s">
        <v>194</v>
      </c>
      <c r="I12" s="68"/>
      <c r="J12" s="68"/>
      <c r="K12" s="67"/>
      <c r="L12" s="69" t="s">
        <v>3</v>
      </c>
      <c r="M12" s="69" t="s">
        <v>51</v>
      </c>
      <c r="N12" s="70" t="s">
        <v>179</v>
      </c>
      <c r="O12" s="6"/>
      <c r="P12" s="6"/>
      <c r="Q12" s="6"/>
    </row>
    <row r="13" spans="1:17" ht="15.75">
      <c r="A13" s="6"/>
      <c r="B13" s="5">
        <f t="shared" si="0"/>
        <v>11</v>
      </c>
      <c r="C13" s="77" t="s">
        <v>329</v>
      </c>
      <c r="D13" s="109">
        <v>46001</v>
      </c>
      <c r="E13" s="68">
        <v>0</v>
      </c>
      <c r="F13" s="68">
        <v>0</v>
      </c>
      <c r="G13" s="68">
        <v>1</v>
      </c>
      <c r="H13" s="68" t="s">
        <v>55</v>
      </c>
      <c r="I13" s="68"/>
      <c r="J13" s="68"/>
      <c r="K13" s="67"/>
      <c r="L13" s="68" t="s">
        <v>3</v>
      </c>
      <c r="M13" s="68" t="s">
        <v>51</v>
      </c>
      <c r="N13" s="70" t="s">
        <v>179</v>
      </c>
      <c r="O13" s="6"/>
      <c r="P13" s="6"/>
      <c r="Q13" s="6"/>
    </row>
    <row r="14" spans="1:17" ht="15.75">
      <c r="A14" s="6"/>
      <c r="B14" s="5">
        <f t="shared" si="0"/>
        <v>12</v>
      </c>
      <c r="C14" s="77" t="s">
        <v>330</v>
      </c>
      <c r="D14" s="109">
        <v>46001</v>
      </c>
      <c r="E14" s="68">
        <v>0</v>
      </c>
      <c r="F14" s="68">
        <v>0</v>
      </c>
      <c r="G14" s="68">
        <v>1</v>
      </c>
      <c r="H14" s="68" t="s">
        <v>184</v>
      </c>
      <c r="I14" s="68"/>
      <c r="J14" s="68"/>
      <c r="K14" s="67"/>
      <c r="L14" s="68" t="s">
        <v>3</v>
      </c>
      <c r="M14" s="68" t="s">
        <v>51</v>
      </c>
      <c r="N14" s="70" t="s">
        <v>179</v>
      </c>
      <c r="O14" s="6"/>
      <c r="P14" s="6"/>
      <c r="Q14" s="6"/>
    </row>
    <row r="15" spans="1:17" ht="15.75">
      <c r="A15" s="6"/>
      <c r="B15" s="5">
        <f t="shared" si="0"/>
        <v>13</v>
      </c>
      <c r="C15" s="77" t="s">
        <v>331</v>
      </c>
      <c r="D15" s="109">
        <v>46001</v>
      </c>
      <c r="E15" s="68">
        <v>1</v>
      </c>
      <c r="F15" s="68">
        <v>0</v>
      </c>
      <c r="G15" s="68">
        <v>0</v>
      </c>
      <c r="H15" s="68" t="s">
        <v>55</v>
      </c>
      <c r="I15" s="68"/>
      <c r="J15" s="68"/>
      <c r="K15" s="67"/>
      <c r="L15" s="68" t="s">
        <v>3</v>
      </c>
      <c r="M15" s="68" t="s">
        <v>51</v>
      </c>
      <c r="N15" s="70" t="s">
        <v>179</v>
      </c>
      <c r="O15" s="6"/>
      <c r="P15" s="6"/>
      <c r="Q15" s="6"/>
    </row>
    <row r="16" spans="1:17" ht="15.75">
      <c r="A16" s="6"/>
      <c r="B16" s="5">
        <f t="shared" si="0"/>
        <v>14</v>
      </c>
      <c r="C16" s="77" t="s">
        <v>332</v>
      </c>
      <c r="D16" s="109">
        <v>46001</v>
      </c>
      <c r="E16" s="68">
        <v>0</v>
      </c>
      <c r="F16" s="68">
        <v>0</v>
      </c>
      <c r="G16" s="68">
        <v>1</v>
      </c>
      <c r="H16" s="68" t="s">
        <v>184</v>
      </c>
      <c r="I16" s="68"/>
      <c r="J16" s="68"/>
      <c r="K16" s="67"/>
      <c r="L16" s="68" t="s">
        <v>3</v>
      </c>
      <c r="M16" s="68" t="s">
        <v>51</v>
      </c>
      <c r="N16" s="70" t="s">
        <v>179</v>
      </c>
      <c r="O16" s="6"/>
      <c r="P16" s="6"/>
      <c r="Q16" s="6"/>
    </row>
    <row r="17" spans="1:17" ht="15.75">
      <c r="A17" s="6"/>
      <c r="B17" s="5">
        <f t="shared" si="0"/>
        <v>15</v>
      </c>
      <c r="C17" s="77" t="s">
        <v>333</v>
      </c>
      <c r="D17" s="109">
        <v>46001</v>
      </c>
      <c r="E17" s="68">
        <v>0</v>
      </c>
      <c r="F17" s="68">
        <v>0</v>
      </c>
      <c r="G17" s="68">
        <v>1</v>
      </c>
      <c r="H17" s="68" t="s">
        <v>184</v>
      </c>
      <c r="I17" s="68"/>
      <c r="J17" s="68"/>
      <c r="K17" s="67"/>
      <c r="L17" s="68" t="s">
        <v>3</v>
      </c>
      <c r="M17" s="68" t="s">
        <v>51</v>
      </c>
      <c r="N17" s="70" t="s">
        <v>179</v>
      </c>
      <c r="O17" s="6"/>
      <c r="P17" s="6"/>
      <c r="Q17" s="6"/>
    </row>
    <row r="18" spans="1:17" ht="15.75">
      <c r="A18" s="6"/>
      <c r="B18" s="5">
        <f t="shared" si="0"/>
        <v>16</v>
      </c>
      <c r="C18" s="77" t="s">
        <v>334</v>
      </c>
      <c r="D18" s="109">
        <v>46001</v>
      </c>
      <c r="E18" s="68">
        <v>0</v>
      </c>
      <c r="F18" s="68">
        <v>0</v>
      </c>
      <c r="G18" s="68">
        <v>1</v>
      </c>
      <c r="H18" s="68" t="s">
        <v>55</v>
      </c>
      <c r="I18" s="68"/>
      <c r="J18" s="68"/>
      <c r="K18" s="67"/>
      <c r="L18" s="68" t="s">
        <v>3</v>
      </c>
      <c r="M18" s="68" t="s">
        <v>51</v>
      </c>
      <c r="N18" s="70" t="s">
        <v>179</v>
      </c>
      <c r="O18" s="6">
        <f>COUNT(B3:B18)</f>
        <v>16</v>
      </c>
      <c r="P18" s="6"/>
      <c r="Q18" s="6"/>
    </row>
    <row r="19" spans="1:17" ht="15.75">
      <c r="A19" s="6"/>
      <c r="B19" s="5">
        <f t="shared" si="0"/>
        <v>17</v>
      </c>
      <c r="C19" s="77" t="s">
        <v>335</v>
      </c>
      <c r="D19" s="109">
        <v>46001</v>
      </c>
      <c r="E19" s="68">
        <v>0</v>
      </c>
      <c r="F19" s="68">
        <v>0</v>
      </c>
      <c r="G19" s="68">
        <v>1</v>
      </c>
      <c r="H19" s="68" t="s">
        <v>49</v>
      </c>
      <c r="I19" s="68"/>
      <c r="J19" s="68"/>
      <c r="K19" s="67"/>
      <c r="L19" s="68" t="s">
        <v>3</v>
      </c>
      <c r="M19" s="68" t="s">
        <v>51</v>
      </c>
      <c r="N19" s="70" t="s">
        <v>179</v>
      </c>
      <c r="O19" s="6"/>
      <c r="P19" s="6"/>
      <c r="Q19" s="6"/>
    </row>
    <row r="20" spans="1:17" ht="15.75">
      <c r="A20" s="6"/>
      <c r="B20" s="5">
        <v>19</v>
      </c>
      <c r="C20" s="77" t="s">
        <v>336</v>
      </c>
      <c r="D20" s="109">
        <v>46001</v>
      </c>
      <c r="E20" s="68">
        <v>0</v>
      </c>
      <c r="F20" s="68">
        <v>0</v>
      </c>
      <c r="G20" s="68">
        <v>1</v>
      </c>
      <c r="H20" s="68" t="s">
        <v>82</v>
      </c>
      <c r="I20" s="68"/>
      <c r="J20" s="68"/>
      <c r="K20" s="67"/>
      <c r="L20" s="68" t="s">
        <v>3</v>
      </c>
      <c r="M20" s="68" t="s">
        <v>51</v>
      </c>
      <c r="N20" s="70" t="s">
        <v>179</v>
      </c>
      <c r="O20" s="6"/>
      <c r="P20" s="6"/>
      <c r="Q20" s="6"/>
    </row>
    <row r="21" spans="1:17" ht="15.75">
      <c r="A21" s="6"/>
      <c r="B21" s="5">
        <v>20</v>
      </c>
      <c r="C21" s="77" t="s">
        <v>229</v>
      </c>
      <c r="D21" s="109">
        <v>46001</v>
      </c>
      <c r="E21" s="68">
        <v>0</v>
      </c>
      <c r="F21" s="68">
        <v>0</v>
      </c>
      <c r="G21" s="68">
        <v>1</v>
      </c>
      <c r="H21" s="68" t="s">
        <v>82</v>
      </c>
      <c r="I21" s="68"/>
      <c r="J21" s="68"/>
      <c r="K21" s="67"/>
      <c r="L21" s="68" t="s">
        <v>3</v>
      </c>
      <c r="M21" s="68" t="s">
        <v>51</v>
      </c>
      <c r="N21" s="70" t="s">
        <v>179</v>
      </c>
      <c r="O21" s="6"/>
      <c r="P21" s="6"/>
      <c r="Q21" s="6"/>
    </row>
    <row r="22" spans="1:17" ht="15.75">
      <c r="A22" s="6"/>
      <c r="B22" s="5">
        <v>21</v>
      </c>
      <c r="C22" s="77" t="s">
        <v>337</v>
      </c>
      <c r="D22" s="109">
        <v>46001</v>
      </c>
      <c r="E22" s="68">
        <v>0</v>
      </c>
      <c r="F22" s="68">
        <v>0</v>
      </c>
      <c r="G22" s="68">
        <v>1</v>
      </c>
      <c r="H22" s="68" t="s">
        <v>82</v>
      </c>
      <c r="I22" s="68"/>
      <c r="J22" s="68"/>
      <c r="K22" s="67"/>
      <c r="L22" s="68" t="s">
        <v>3</v>
      </c>
      <c r="M22" s="68" t="s">
        <v>51</v>
      </c>
      <c r="N22" s="70" t="s">
        <v>179</v>
      </c>
      <c r="O22" s="6"/>
      <c r="P22" s="6"/>
      <c r="Q22" s="6"/>
    </row>
    <row r="23" spans="1:17" ht="15.75">
      <c r="A23" s="6"/>
      <c r="B23" s="5">
        <v>22</v>
      </c>
      <c r="C23" s="77" t="s">
        <v>338</v>
      </c>
      <c r="D23" s="109">
        <v>46001</v>
      </c>
      <c r="E23" s="68">
        <v>0</v>
      </c>
      <c r="F23" s="68">
        <v>0</v>
      </c>
      <c r="G23" s="68">
        <v>1</v>
      </c>
      <c r="H23" s="68" t="s">
        <v>82</v>
      </c>
      <c r="I23" s="68"/>
      <c r="J23" s="68"/>
      <c r="K23" s="67"/>
      <c r="L23" s="68" t="s">
        <v>3</v>
      </c>
      <c r="M23" s="68" t="s">
        <v>51</v>
      </c>
      <c r="N23" s="70" t="s">
        <v>179</v>
      </c>
      <c r="O23" s="6"/>
      <c r="P23" s="6"/>
      <c r="Q23" s="6"/>
    </row>
    <row r="24" spans="1:17" ht="15.75">
      <c r="A24" s="6"/>
      <c r="B24" s="5">
        <v>23</v>
      </c>
      <c r="C24" s="77" t="s">
        <v>339</v>
      </c>
      <c r="D24" s="109">
        <v>46001</v>
      </c>
      <c r="E24" s="68">
        <v>0</v>
      </c>
      <c r="F24" s="68">
        <v>0</v>
      </c>
      <c r="G24" s="68">
        <v>1</v>
      </c>
      <c r="H24" s="68" t="s">
        <v>82</v>
      </c>
      <c r="I24" s="68"/>
      <c r="J24" s="68"/>
      <c r="K24" s="67"/>
      <c r="L24" s="68" t="s">
        <v>3</v>
      </c>
      <c r="M24" s="68" t="s">
        <v>51</v>
      </c>
      <c r="N24" s="70" t="s">
        <v>179</v>
      </c>
      <c r="O24" s="6"/>
      <c r="P24" s="6"/>
      <c r="Q24" s="6"/>
    </row>
    <row r="25" spans="1:17" ht="15.75">
      <c r="A25" s="6"/>
      <c r="B25" s="5">
        <v>24</v>
      </c>
      <c r="C25" s="77" t="s">
        <v>340</v>
      </c>
      <c r="D25" s="109">
        <v>46001</v>
      </c>
      <c r="E25" s="68">
        <v>0</v>
      </c>
      <c r="F25" s="68">
        <v>0</v>
      </c>
      <c r="G25" s="68">
        <v>1</v>
      </c>
      <c r="H25" s="68" t="s">
        <v>82</v>
      </c>
      <c r="I25" s="68"/>
      <c r="J25" s="68"/>
      <c r="K25" s="67"/>
      <c r="L25" s="68" t="s">
        <v>3</v>
      </c>
      <c r="M25" s="68" t="s">
        <v>51</v>
      </c>
      <c r="N25" s="70" t="s">
        <v>179</v>
      </c>
      <c r="O25" s="6"/>
      <c r="P25" s="6"/>
      <c r="Q25" s="6"/>
    </row>
    <row r="26" spans="1:17" ht="15.75">
      <c r="A26" s="6"/>
      <c r="B26" s="5">
        <v>25</v>
      </c>
      <c r="C26" s="77" t="s">
        <v>341</v>
      </c>
      <c r="D26" s="109">
        <v>46001</v>
      </c>
      <c r="E26" s="68">
        <v>0</v>
      </c>
      <c r="F26" s="68">
        <v>0</v>
      </c>
      <c r="G26" s="68">
        <v>1</v>
      </c>
      <c r="H26" s="68" t="s">
        <v>82</v>
      </c>
      <c r="I26" s="68"/>
      <c r="J26" s="68"/>
      <c r="K26" s="67"/>
      <c r="L26" s="68" t="s">
        <v>3</v>
      </c>
      <c r="M26" s="68" t="s">
        <v>51</v>
      </c>
      <c r="N26" s="70" t="s">
        <v>179</v>
      </c>
      <c r="O26" s="6"/>
      <c r="P26" s="6"/>
      <c r="Q26" s="6"/>
    </row>
    <row r="27" spans="1:17">
      <c r="A27" s="6"/>
      <c r="B27" s="61">
        <v>25</v>
      </c>
      <c r="C27" s="62"/>
      <c r="D27" s="62"/>
      <c r="E27" s="80">
        <f>SUM(E3:E20)</f>
        <v>2</v>
      </c>
      <c r="F27" s="80">
        <f>SUM(F3:F20)</f>
        <v>0</v>
      </c>
      <c r="G27" s="80">
        <f>SUM(G3:G26)</f>
        <v>22</v>
      </c>
      <c r="H27" s="63"/>
      <c r="I27" s="63"/>
      <c r="J27" s="63"/>
      <c r="K27" s="64"/>
      <c r="L27" s="63"/>
      <c r="M27" s="63"/>
      <c r="N27" s="65"/>
      <c r="O27" s="6"/>
      <c r="P27" s="6"/>
      <c r="Q27" s="6"/>
    </row>
    <row r="28" spans="1:17">
      <c r="A28" s="6"/>
      <c r="B28" s="9"/>
      <c r="C28" s="26"/>
      <c r="D28" s="26"/>
      <c r="E28" s="56"/>
      <c r="F28" s="56"/>
      <c r="G28" s="56"/>
      <c r="H28" s="6"/>
      <c r="I28" s="6"/>
      <c r="J28" s="6"/>
      <c r="K28" s="6"/>
      <c r="L28" s="6"/>
      <c r="M28" s="6"/>
      <c r="N28" s="25"/>
      <c r="O28" s="6"/>
      <c r="P28" s="6"/>
      <c r="Q28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9FC6-C15D-4863-BABD-712E91320513}">
  <dimension ref="C2:F33"/>
  <sheetViews>
    <sheetView workbookViewId="0">
      <selection activeCell="E12" sqref="E12"/>
    </sheetView>
  </sheetViews>
  <sheetFormatPr defaultRowHeight="15"/>
  <cols>
    <col min="3" max="3" width="23" bestFit="1" customWidth="1"/>
    <col min="5" max="5" width="9.5703125" bestFit="1" customWidth="1"/>
  </cols>
  <sheetData>
    <row r="2" spans="3:5">
      <c r="C2" s="147" t="s">
        <v>342</v>
      </c>
      <c r="D2" s="147"/>
      <c r="E2" s="147"/>
    </row>
    <row r="3" spans="3:5">
      <c r="C3" s="4" t="s">
        <v>343</v>
      </c>
      <c r="D3" s="4">
        <f>ControllersLogicByType!L35</f>
        <v>11</v>
      </c>
      <c r="E3" s="49">
        <f>D3/$D$6</f>
        <v>0.33333333333333331</v>
      </c>
    </row>
    <row r="4" spans="3:5">
      <c r="C4" s="4" t="s">
        <v>344</v>
      </c>
      <c r="D4" s="4">
        <f>ControllersLogicByType!L16</f>
        <v>14</v>
      </c>
      <c r="E4" s="49">
        <f t="shared" ref="E4:E6" si="0">D4/$D$6</f>
        <v>0.42424242424242425</v>
      </c>
    </row>
    <row r="5" spans="3:5">
      <c r="C5" s="4" t="s">
        <v>345</v>
      </c>
      <c r="D5" s="4">
        <f>ControllersLogicByType!L24</f>
        <v>8</v>
      </c>
      <c r="E5" s="49">
        <f t="shared" si="0"/>
        <v>0.24242424242424243</v>
      </c>
    </row>
    <row r="6" spans="3:5">
      <c r="C6" s="4" t="s">
        <v>346</v>
      </c>
      <c r="D6" s="4">
        <f>ControllersLogicByType!M36</f>
        <v>33</v>
      </c>
      <c r="E6" s="49">
        <f t="shared" si="0"/>
        <v>1</v>
      </c>
    </row>
    <row r="9" spans="3:5">
      <c r="C9" s="147" t="s">
        <v>347</v>
      </c>
      <c r="D9" s="147"/>
      <c r="E9" s="147"/>
    </row>
    <row r="10" spans="3:5">
      <c r="C10" s="4" t="s">
        <v>3</v>
      </c>
      <c r="D10" s="4">
        <v>32</v>
      </c>
      <c r="E10" s="49">
        <f>D10/$D$6</f>
        <v>0.96969696969696972</v>
      </c>
    </row>
    <row r="11" spans="3:5">
      <c r="C11" s="4" t="s">
        <v>348</v>
      </c>
      <c r="D11" s="4">
        <v>1</v>
      </c>
      <c r="E11" s="49">
        <f t="shared" ref="E11:E13" si="1">D11/$D$6</f>
        <v>3.0303030303030304E-2</v>
      </c>
    </row>
    <row r="12" spans="3:5">
      <c r="C12" s="4" t="s">
        <v>349</v>
      </c>
      <c r="D12" s="4">
        <f>ControllersLogicByType!L31</f>
        <v>0</v>
      </c>
      <c r="E12" s="49">
        <f t="shared" si="1"/>
        <v>0</v>
      </c>
    </row>
    <row r="13" spans="3:5">
      <c r="C13" s="4" t="s">
        <v>346</v>
      </c>
      <c r="D13" s="4">
        <v>33</v>
      </c>
      <c r="E13" s="49">
        <f t="shared" si="1"/>
        <v>1</v>
      </c>
    </row>
    <row r="14" spans="3:5">
      <c r="E14" s="54"/>
    </row>
    <row r="16" spans="3:5">
      <c r="C16" s="147" t="s">
        <v>350</v>
      </c>
      <c r="D16" s="147"/>
      <c r="E16" s="147"/>
    </row>
    <row r="17" spans="3:6">
      <c r="C17" s="4" t="s">
        <v>351</v>
      </c>
      <c r="D17" s="4">
        <v>14</v>
      </c>
      <c r="E17" s="49">
        <f>D17/$D$6</f>
        <v>0.42424242424242425</v>
      </c>
    </row>
    <row r="18" spans="3:6">
      <c r="C18" s="4" t="s">
        <v>352</v>
      </c>
      <c r="D18" s="4">
        <v>8</v>
      </c>
      <c r="E18" s="49">
        <f t="shared" ref="E18:E20" si="2">D18/$D$6</f>
        <v>0.24242424242424243</v>
      </c>
    </row>
    <row r="19" spans="3:6">
      <c r="C19" s="4" t="s">
        <v>353</v>
      </c>
      <c r="D19" s="4">
        <f>D3</f>
        <v>11</v>
      </c>
      <c r="E19" s="49">
        <f t="shared" si="2"/>
        <v>0.33333333333333331</v>
      </c>
    </row>
    <row r="20" spans="3:6">
      <c r="C20" s="4" t="s">
        <v>346</v>
      </c>
      <c r="D20" s="4">
        <v>33</v>
      </c>
      <c r="E20" s="49">
        <f t="shared" si="2"/>
        <v>1</v>
      </c>
    </row>
    <row r="21" spans="3:6">
      <c r="E21" s="54"/>
    </row>
    <row r="23" spans="3:6">
      <c r="C23" s="148" t="s">
        <v>354</v>
      </c>
      <c r="D23" s="148"/>
      <c r="E23" s="148"/>
    </row>
    <row r="24" spans="3:6">
      <c r="C24" s="53" t="s">
        <v>355</v>
      </c>
      <c r="D24" s="149" t="s">
        <v>356</v>
      </c>
      <c r="E24" s="150"/>
      <c r="F24" s="53" t="s">
        <v>357</v>
      </c>
    </row>
    <row r="25" spans="3:6">
      <c r="C25" s="4" t="s">
        <v>358</v>
      </c>
      <c r="D25" s="151">
        <f>ControllersLogicByType!M42</f>
        <v>8</v>
      </c>
      <c r="E25" s="152"/>
      <c r="F25" s="49" t="s">
        <v>293</v>
      </c>
    </row>
    <row r="26" spans="3:6">
      <c r="C26" s="4" t="s">
        <v>359</v>
      </c>
      <c r="D26" s="151">
        <v>3</v>
      </c>
      <c r="E26" s="152"/>
      <c r="F26" s="49" t="s">
        <v>293</v>
      </c>
    </row>
    <row r="27" spans="3:6">
      <c r="C27" s="4" t="s">
        <v>360</v>
      </c>
      <c r="D27" s="151">
        <f>ControllersLogicByType!L35</f>
        <v>11</v>
      </c>
      <c r="E27" s="152"/>
      <c r="F27" s="49"/>
    </row>
    <row r="28" spans="3:6">
      <c r="C28" s="4" t="s">
        <v>361</v>
      </c>
      <c r="D28" s="151">
        <f>D4</f>
        <v>14</v>
      </c>
      <c r="E28" s="152"/>
      <c r="F28" s="49">
        <f>(D28-D25)/D25</f>
        <v>0.75</v>
      </c>
    </row>
    <row r="29" spans="3:6">
      <c r="C29" s="4" t="s">
        <v>362</v>
      </c>
      <c r="D29" s="151">
        <f>ControllersLogicByType!L24</f>
        <v>8</v>
      </c>
      <c r="E29" s="152"/>
      <c r="F29" s="49">
        <v>0</v>
      </c>
    </row>
    <row r="30" spans="3:6">
      <c r="C30" s="4" t="s">
        <v>363</v>
      </c>
      <c r="D30" s="151">
        <f>22</f>
        <v>22</v>
      </c>
      <c r="E30" s="152"/>
      <c r="F30" s="49">
        <f>(D30-D25)/D25</f>
        <v>1.75</v>
      </c>
    </row>
    <row r="31" spans="3:6">
      <c r="C31" s="4" t="s">
        <v>364</v>
      </c>
      <c r="D31" s="151">
        <v>33</v>
      </c>
      <c r="E31" s="152"/>
      <c r="F31" s="49">
        <f>(D31-D25)/D25</f>
        <v>3.125</v>
      </c>
    </row>
    <row r="32" spans="3:6">
      <c r="C32" s="4" t="s">
        <v>365</v>
      </c>
      <c r="D32" s="151">
        <f>19</f>
        <v>19</v>
      </c>
      <c r="E32" s="152"/>
      <c r="F32" s="49">
        <f>D32/D33</f>
        <v>0.5757575757575758</v>
      </c>
    </row>
    <row r="33" spans="3:6">
      <c r="C33" s="4" t="s">
        <v>346</v>
      </c>
      <c r="D33" s="151">
        <v>33</v>
      </c>
      <c r="E33" s="152"/>
      <c r="F33" s="49">
        <f>D33/$D$6</f>
        <v>1</v>
      </c>
    </row>
  </sheetData>
  <mergeCells count="14">
    <mergeCell ref="D30:E30"/>
    <mergeCell ref="D31:E31"/>
    <mergeCell ref="D32:E32"/>
    <mergeCell ref="D33:E33"/>
    <mergeCell ref="D25:E25"/>
    <mergeCell ref="D26:E26"/>
    <mergeCell ref="D27:E27"/>
    <mergeCell ref="D28:E28"/>
    <mergeCell ref="D29:E29"/>
    <mergeCell ref="C2:E2"/>
    <mergeCell ref="C9:E9"/>
    <mergeCell ref="C16:E16"/>
    <mergeCell ref="C23:E23"/>
    <mergeCell ref="D24:E2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349A2-1F74-459B-B3EB-E2699BDF0420}">
  <dimension ref="C2:H34"/>
  <sheetViews>
    <sheetView workbookViewId="0">
      <selection activeCell="I12" sqref="I12"/>
    </sheetView>
  </sheetViews>
  <sheetFormatPr defaultRowHeight="15"/>
  <cols>
    <col min="3" max="3" width="27.42578125" bestFit="1" customWidth="1"/>
    <col min="4" max="4" width="11.85546875" customWidth="1"/>
  </cols>
  <sheetData>
    <row r="2" spans="3:8">
      <c r="C2" s="147" t="s">
        <v>366</v>
      </c>
      <c r="D2" s="147"/>
      <c r="E2" s="147"/>
    </row>
    <row r="3" spans="3:8">
      <c r="C3" s="4" t="s">
        <v>343</v>
      </c>
      <c r="D3" s="4">
        <v>6</v>
      </c>
      <c r="E3" s="49">
        <f>D3/$D$6</f>
        <v>0.2</v>
      </c>
      <c r="H3" t="s">
        <v>367</v>
      </c>
    </row>
    <row r="4" spans="3:8">
      <c r="C4" s="4" t="s">
        <v>344</v>
      </c>
      <c r="D4" s="4">
        <v>18</v>
      </c>
      <c r="E4" s="49">
        <f t="shared" ref="E4:E6" si="0">D4/$D$6</f>
        <v>0.6</v>
      </c>
    </row>
    <row r="5" spans="3:8">
      <c r="C5" s="4" t="s">
        <v>345</v>
      </c>
      <c r="D5" s="4">
        <v>6</v>
      </c>
      <c r="E5" s="49">
        <f t="shared" si="0"/>
        <v>0.2</v>
      </c>
    </row>
    <row r="6" spans="3:8">
      <c r="C6" s="4" t="s">
        <v>368</v>
      </c>
      <c r="D6" s="4">
        <v>30</v>
      </c>
      <c r="E6" s="49">
        <f t="shared" si="0"/>
        <v>1</v>
      </c>
    </row>
    <row r="9" spans="3:8">
      <c r="C9" s="147" t="s">
        <v>369</v>
      </c>
      <c r="D9" s="147"/>
      <c r="E9" s="147"/>
    </row>
    <row r="10" spans="3:8">
      <c r="C10" s="4" t="s">
        <v>3</v>
      </c>
      <c r="D10" s="4">
        <v>25</v>
      </c>
      <c r="E10" s="49">
        <f>D10/$D$6</f>
        <v>0.83333333333333337</v>
      </c>
    </row>
    <row r="11" spans="3:8">
      <c r="C11" s="4" t="s">
        <v>370</v>
      </c>
      <c r="D11" s="4">
        <v>3</v>
      </c>
      <c r="E11" s="49">
        <f t="shared" ref="E11:E14" si="1">D11/$D$6</f>
        <v>0.1</v>
      </c>
    </row>
    <row r="12" spans="3:8">
      <c r="C12" s="4" t="s">
        <v>371</v>
      </c>
      <c r="D12" s="4">
        <v>1</v>
      </c>
      <c r="E12" s="49">
        <f>D12/D14</f>
        <v>3.3333333333333333E-2</v>
      </c>
    </row>
    <row r="13" spans="3:8">
      <c r="C13" s="4" t="s">
        <v>372</v>
      </c>
      <c r="D13" s="4">
        <v>1</v>
      </c>
      <c r="E13" s="49">
        <f t="shared" si="1"/>
        <v>3.3333333333333333E-2</v>
      </c>
    </row>
    <row r="14" spans="3:8">
      <c r="C14" s="4" t="s">
        <v>373</v>
      </c>
      <c r="D14" s="4">
        <v>30</v>
      </c>
      <c r="E14" s="49">
        <f t="shared" si="1"/>
        <v>1</v>
      </c>
    </row>
    <row r="15" spans="3:8">
      <c r="E15" s="54"/>
    </row>
    <row r="17" spans="3:6">
      <c r="C17" s="147" t="s">
        <v>350</v>
      </c>
      <c r="D17" s="147"/>
      <c r="E17" s="147"/>
    </row>
    <row r="18" spans="3:6">
      <c r="C18" s="4" t="s">
        <v>351</v>
      </c>
      <c r="D18" s="4">
        <v>18</v>
      </c>
      <c r="E18" s="49">
        <f>D18/$D$6</f>
        <v>0.6</v>
      </c>
    </row>
    <row r="19" spans="3:6">
      <c r="C19" s="4" t="s">
        <v>352</v>
      </c>
      <c r="D19" s="4">
        <v>6</v>
      </c>
      <c r="E19" s="49">
        <f t="shared" ref="E19:E21" si="2">D19/$D$6</f>
        <v>0.2</v>
      </c>
    </row>
    <row r="20" spans="3:6">
      <c r="C20" s="4" t="s">
        <v>353</v>
      </c>
      <c r="D20" s="4">
        <f>D3</f>
        <v>6</v>
      </c>
      <c r="E20" s="49">
        <f t="shared" si="2"/>
        <v>0.2</v>
      </c>
    </row>
    <row r="21" spans="3:6">
      <c r="C21" s="4" t="s">
        <v>373</v>
      </c>
      <c r="D21" s="4">
        <v>30</v>
      </c>
      <c r="E21" s="49">
        <f t="shared" si="2"/>
        <v>1</v>
      </c>
    </row>
    <row r="22" spans="3:6">
      <c r="E22" s="54"/>
    </row>
    <row r="24" spans="3:6">
      <c r="C24" s="155" t="s">
        <v>374</v>
      </c>
      <c r="D24" s="155"/>
      <c r="E24" s="155"/>
      <c r="F24" s="155"/>
    </row>
    <row r="25" spans="3:6">
      <c r="C25" s="100" t="s">
        <v>355</v>
      </c>
      <c r="D25" s="155" t="s">
        <v>375</v>
      </c>
      <c r="E25" s="155"/>
      <c r="F25" s="100" t="s">
        <v>376</v>
      </c>
    </row>
    <row r="26" spans="3:6">
      <c r="C26" s="101" t="s">
        <v>358</v>
      </c>
      <c r="D26" s="154">
        <v>27</v>
      </c>
      <c r="E26" s="154"/>
      <c r="F26" s="102">
        <f>D26/D34</f>
        <v>0.9</v>
      </c>
    </row>
    <row r="27" spans="3:6">
      <c r="C27" s="101" t="s">
        <v>359</v>
      </c>
      <c r="D27" s="154">
        <v>3</v>
      </c>
      <c r="E27" s="154"/>
      <c r="F27" s="102" t="s">
        <v>293</v>
      </c>
    </row>
    <row r="28" spans="3:6">
      <c r="C28" s="101" t="s">
        <v>360</v>
      </c>
      <c r="D28" s="154">
        <v>6</v>
      </c>
      <c r="E28" s="154"/>
      <c r="F28" s="102">
        <f>D28/D34</f>
        <v>0.2</v>
      </c>
    </row>
    <row r="29" spans="3:6">
      <c r="C29" s="101" t="s">
        <v>361</v>
      </c>
      <c r="D29" s="154">
        <f>D4</f>
        <v>18</v>
      </c>
      <c r="E29" s="154"/>
      <c r="F29" s="102">
        <f>D29/D34</f>
        <v>0.6</v>
      </c>
    </row>
    <row r="30" spans="3:6">
      <c r="C30" s="101" t="s">
        <v>362</v>
      </c>
      <c r="D30" s="154">
        <v>6</v>
      </c>
      <c r="E30" s="154"/>
      <c r="F30" s="102">
        <f>D30/D34</f>
        <v>0.2</v>
      </c>
    </row>
    <row r="31" spans="3:6">
      <c r="C31" s="101" t="s">
        <v>363</v>
      </c>
      <c r="D31" s="154">
        <v>24</v>
      </c>
      <c r="E31" s="154"/>
      <c r="F31" s="102">
        <f>D31/D34</f>
        <v>0.8</v>
      </c>
    </row>
    <row r="32" spans="3:6">
      <c r="C32" s="101" t="s">
        <v>377</v>
      </c>
      <c r="D32" s="154">
        <v>30</v>
      </c>
      <c r="E32" s="154"/>
      <c r="F32" s="102">
        <f>D32/D34</f>
        <v>1</v>
      </c>
    </row>
    <row r="33" spans="3:6">
      <c r="C33" s="103" t="s">
        <v>365</v>
      </c>
      <c r="D33" s="153">
        <v>12</v>
      </c>
      <c r="E33" s="153"/>
      <c r="F33" s="104">
        <f>D33/D34</f>
        <v>0.4</v>
      </c>
    </row>
    <row r="34" spans="3:6">
      <c r="C34" s="101" t="s">
        <v>373</v>
      </c>
      <c r="D34" s="154">
        <v>30</v>
      </c>
      <c r="E34" s="154"/>
      <c r="F34" s="102">
        <f>D34/$D$6</f>
        <v>1</v>
      </c>
    </row>
  </sheetData>
  <mergeCells count="14">
    <mergeCell ref="C2:E2"/>
    <mergeCell ref="C9:E9"/>
    <mergeCell ref="C17:E17"/>
    <mergeCell ref="D25:E25"/>
    <mergeCell ref="D26:E26"/>
    <mergeCell ref="D33:E33"/>
    <mergeCell ref="D34:E34"/>
    <mergeCell ref="C24:F24"/>
    <mergeCell ref="D27:E27"/>
    <mergeCell ref="D28:E28"/>
    <mergeCell ref="D29:E29"/>
    <mergeCell ref="D30:E30"/>
    <mergeCell ref="D31:E31"/>
    <mergeCell ref="D32:E3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BF842-7350-497C-B0FD-BCECED70C8AE}">
  <dimension ref="C1:J30"/>
  <sheetViews>
    <sheetView workbookViewId="0">
      <selection activeCell="M33" sqref="M33"/>
    </sheetView>
  </sheetViews>
  <sheetFormatPr defaultRowHeight="15"/>
  <cols>
    <col min="3" max="3" width="28.85546875" bestFit="1" customWidth="1"/>
    <col min="4" max="4" width="20.5703125" bestFit="1" customWidth="1"/>
    <col min="8" max="8" width="28.85546875" bestFit="1" customWidth="1"/>
  </cols>
  <sheetData>
    <row r="1" spans="3:10" ht="15.75" thickBot="1">
      <c r="D1" t="s">
        <v>226</v>
      </c>
    </row>
    <row r="2" spans="3:10" ht="16.5" thickBot="1">
      <c r="C2" s="60" t="s">
        <v>225</v>
      </c>
      <c r="D2" s="57" t="s">
        <v>217</v>
      </c>
      <c r="H2" s="60" t="s">
        <v>225</v>
      </c>
      <c r="J2" t="s">
        <v>226</v>
      </c>
    </row>
    <row r="3" spans="3:10" ht="16.5" thickBot="1">
      <c r="C3" s="60" t="s">
        <v>216</v>
      </c>
      <c r="D3" s="58" t="s">
        <v>178</v>
      </c>
      <c r="H3" s="60" t="s">
        <v>216</v>
      </c>
      <c r="J3" t="s">
        <v>217</v>
      </c>
    </row>
    <row r="4" spans="3:10" ht="16.5" thickBot="1">
      <c r="C4" s="60" t="s">
        <v>177</v>
      </c>
      <c r="D4" s="57" t="s">
        <v>181</v>
      </c>
      <c r="H4" s="60" t="s">
        <v>177</v>
      </c>
      <c r="J4" t="s">
        <v>178</v>
      </c>
    </row>
    <row r="5" spans="3:10" ht="16.5" thickBot="1">
      <c r="C5" s="60" t="s">
        <v>180</v>
      </c>
      <c r="D5" s="58" t="s">
        <v>183</v>
      </c>
      <c r="H5" s="60" t="s">
        <v>180</v>
      </c>
      <c r="J5" t="s">
        <v>181</v>
      </c>
    </row>
    <row r="6" spans="3:10" ht="16.5" thickBot="1">
      <c r="C6" s="60" t="s">
        <v>182</v>
      </c>
      <c r="D6" s="57" t="s">
        <v>186</v>
      </c>
      <c r="H6" s="60" t="s">
        <v>182</v>
      </c>
      <c r="J6" t="s">
        <v>183</v>
      </c>
    </row>
    <row r="7" spans="3:10" ht="16.5" thickBot="1">
      <c r="C7" s="60" t="s">
        <v>185</v>
      </c>
      <c r="D7" s="58" t="s">
        <v>188</v>
      </c>
      <c r="H7" s="60" t="s">
        <v>185</v>
      </c>
      <c r="J7" t="s">
        <v>186</v>
      </c>
    </row>
    <row r="8" spans="3:10" ht="16.5" thickBot="1">
      <c r="C8" s="60" t="s">
        <v>187</v>
      </c>
      <c r="D8" s="57" t="s">
        <v>190</v>
      </c>
      <c r="H8" s="60" t="s">
        <v>187</v>
      </c>
      <c r="J8" t="s">
        <v>188</v>
      </c>
    </row>
    <row r="9" spans="3:10" ht="16.5" thickBot="1">
      <c r="C9" s="60" t="s">
        <v>189</v>
      </c>
      <c r="D9" s="58" t="s">
        <v>192</v>
      </c>
      <c r="H9" s="60" t="s">
        <v>189</v>
      </c>
      <c r="J9" t="s">
        <v>190</v>
      </c>
    </row>
    <row r="10" spans="3:10" ht="16.5" thickBot="1">
      <c r="C10" s="60" t="s">
        <v>191</v>
      </c>
      <c r="D10" s="57" t="s">
        <v>196</v>
      </c>
      <c r="H10" s="60" t="s">
        <v>191</v>
      </c>
      <c r="J10" t="s">
        <v>192</v>
      </c>
    </row>
    <row r="11" spans="3:10" ht="16.5" thickBot="1">
      <c r="C11" s="60" t="s">
        <v>195</v>
      </c>
      <c r="D11" s="58" t="s">
        <v>378</v>
      </c>
      <c r="H11" s="60" t="s">
        <v>195</v>
      </c>
      <c r="J11" t="s">
        <v>196</v>
      </c>
    </row>
    <row r="12" spans="3:10" ht="16.5" thickBot="1">
      <c r="C12" s="60" t="s">
        <v>218</v>
      </c>
      <c r="D12" s="59" t="s">
        <v>379</v>
      </c>
      <c r="H12" s="60" t="s">
        <v>218</v>
      </c>
      <c r="J12" t="s">
        <v>378</v>
      </c>
    </row>
    <row r="13" spans="3:10" ht="16.5" thickBot="1">
      <c r="C13" s="60" t="s">
        <v>380</v>
      </c>
      <c r="D13" s="58" t="s">
        <v>381</v>
      </c>
      <c r="H13" s="60" t="s">
        <v>380</v>
      </c>
      <c r="J13" t="s">
        <v>379</v>
      </c>
    </row>
    <row r="14" spans="3:10" ht="16.5" thickBot="1">
      <c r="C14" s="60" t="s">
        <v>382</v>
      </c>
      <c r="D14" s="57" t="s">
        <v>383</v>
      </c>
      <c r="H14" s="60" t="s">
        <v>382</v>
      </c>
      <c r="J14" t="s">
        <v>381</v>
      </c>
    </row>
    <row r="15" spans="3:10" ht="16.5" thickBot="1">
      <c r="C15" s="60" t="s">
        <v>384</v>
      </c>
      <c r="D15" s="58" t="s">
        <v>383</v>
      </c>
      <c r="H15" s="60" t="s">
        <v>384</v>
      </c>
      <c r="J15" t="s">
        <v>383</v>
      </c>
    </row>
    <row r="16" spans="3:10" ht="16.5" thickBot="1">
      <c r="C16" s="60" t="s">
        <v>385</v>
      </c>
      <c r="D16" s="57" t="s">
        <v>383</v>
      </c>
      <c r="H16" s="60" t="s">
        <v>385</v>
      </c>
      <c r="J16" t="s">
        <v>383</v>
      </c>
    </row>
    <row r="17" spans="3:10" ht="16.5" thickBot="1">
      <c r="C17" s="60" t="s">
        <v>386</v>
      </c>
      <c r="D17" s="58" t="s">
        <v>387</v>
      </c>
      <c r="H17" s="60" t="s">
        <v>386</v>
      </c>
      <c r="J17" t="s">
        <v>383</v>
      </c>
    </row>
    <row r="18" spans="3:10" ht="16.5" thickBot="1">
      <c r="C18" s="60" t="s">
        <v>388</v>
      </c>
      <c r="D18" s="57" t="s">
        <v>234</v>
      </c>
      <c r="H18" s="60" t="s">
        <v>388</v>
      </c>
      <c r="J18" t="s">
        <v>387</v>
      </c>
    </row>
    <row r="19" spans="3:10" ht="16.5" thickBot="1">
      <c r="C19" s="60" t="s">
        <v>233</v>
      </c>
      <c r="D19" s="58" t="s">
        <v>215</v>
      </c>
      <c r="H19" s="60" t="s">
        <v>233</v>
      </c>
      <c r="J19" t="s">
        <v>234</v>
      </c>
    </row>
    <row r="20" spans="3:10" ht="16.5" thickBot="1">
      <c r="C20" s="60" t="s">
        <v>214</v>
      </c>
      <c r="D20" s="57" t="s">
        <v>236</v>
      </c>
      <c r="H20" s="60" t="s">
        <v>214</v>
      </c>
      <c r="J20" t="s">
        <v>215</v>
      </c>
    </row>
    <row r="21" spans="3:10" ht="16.5" thickBot="1">
      <c r="C21" s="60" t="s">
        <v>235</v>
      </c>
      <c r="D21" s="58" t="s">
        <v>224</v>
      </c>
      <c r="H21" s="60" t="s">
        <v>235</v>
      </c>
      <c r="J21" t="s">
        <v>236</v>
      </c>
    </row>
    <row r="22" spans="3:10" ht="16.5" thickBot="1">
      <c r="C22" s="60" t="s">
        <v>223</v>
      </c>
      <c r="D22" s="57" t="s">
        <v>198</v>
      </c>
      <c r="H22" s="60" t="s">
        <v>223</v>
      </c>
      <c r="J22" t="s">
        <v>224</v>
      </c>
    </row>
    <row r="23" spans="3:10" ht="16.5" thickBot="1">
      <c r="C23" s="60" t="s">
        <v>197</v>
      </c>
      <c r="D23" s="58" t="s">
        <v>200</v>
      </c>
      <c r="H23" s="60" t="s">
        <v>197</v>
      </c>
      <c r="J23" t="s">
        <v>198</v>
      </c>
    </row>
    <row r="24" spans="3:10" ht="16.5" thickBot="1">
      <c r="C24" s="60" t="s">
        <v>199</v>
      </c>
      <c r="D24" s="57" t="s">
        <v>202</v>
      </c>
      <c r="H24" s="60" t="s">
        <v>199</v>
      </c>
      <c r="J24" t="s">
        <v>200</v>
      </c>
    </row>
    <row r="25" spans="3:10" ht="16.5" thickBot="1">
      <c r="C25" s="60" t="s">
        <v>201</v>
      </c>
      <c r="D25" s="58" t="s">
        <v>204</v>
      </c>
      <c r="H25" s="60" t="s">
        <v>201</v>
      </c>
      <c r="J25" t="s">
        <v>202</v>
      </c>
    </row>
    <row r="26" spans="3:10" ht="16.5" thickBot="1">
      <c r="C26" s="60" t="s">
        <v>203</v>
      </c>
      <c r="D26" s="57" t="s">
        <v>206</v>
      </c>
      <c r="H26" s="60" t="s">
        <v>203</v>
      </c>
      <c r="J26" t="s">
        <v>204</v>
      </c>
    </row>
    <row r="27" spans="3:10" ht="16.5" thickBot="1">
      <c r="C27" s="60" t="s">
        <v>205</v>
      </c>
      <c r="D27" s="58" t="s">
        <v>208</v>
      </c>
      <c r="H27" s="60" t="s">
        <v>205</v>
      </c>
      <c r="J27" t="s">
        <v>206</v>
      </c>
    </row>
    <row r="28" spans="3:10" ht="16.5" thickBot="1">
      <c r="C28" s="60" t="s">
        <v>207</v>
      </c>
      <c r="D28" s="57" t="s">
        <v>210</v>
      </c>
      <c r="H28" s="60" t="s">
        <v>207</v>
      </c>
      <c r="J28" t="s">
        <v>208</v>
      </c>
    </row>
    <row r="29" spans="3:10" ht="16.5" thickBot="1">
      <c r="C29" s="60" t="s">
        <v>209</v>
      </c>
      <c r="D29" s="58" t="s">
        <v>212</v>
      </c>
      <c r="H29" s="60" t="s">
        <v>209</v>
      </c>
      <c r="J29" t="s">
        <v>210</v>
      </c>
    </row>
    <row r="30" spans="3:10" ht="15.75">
      <c r="C30" s="60" t="s">
        <v>211</v>
      </c>
      <c r="D30" s="57" t="s">
        <v>212</v>
      </c>
      <c r="H30" s="60" t="s">
        <v>211</v>
      </c>
      <c r="J30" t="s">
        <v>212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BF88E-76F4-4CCF-BD55-3AC160D7B603}">
  <dimension ref="C2:C366"/>
  <sheetViews>
    <sheetView topLeftCell="A176" workbookViewId="0">
      <selection activeCell="J239" sqref="J239"/>
    </sheetView>
  </sheetViews>
  <sheetFormatPr defaultRowHeight="15"/>
  <cols>
    <col min="3" max="3" width="67.28515625" customWidth="1"/>
  </cols>
  <sheetData>
    <row r="2" spans="3:3" ht="23.25">
      <c r="C2" s="1" t="s">
        <v>47</v>
      </c>
    </row>
    <row r="3" spans="3:3">
      <c r="C3" s="2" t="s">
        <v>159</v>
      </c>
    </row>
    <row r="4" spans="3:3" ht="15.75">
      <c r="C4" s="3" t="s">
        <v>389</v>
      </c>
    </row>
    <row r="5" spans="3:3">
      <c r="C5" s="2" t="s">
        <v>390</v>
      </c>
    </row>
    <row r="6" spans="3:3" ht="15.75">
      <c r="C6" s="3" t="s">
        <v>389</v>
      </c>
    </row>
    <row r="7" spans="3:3">
      <c r="C7" s="2" t="s">
        <v>159</v>
      </c>
    </row>
    <row r="8" spans="3:3" ht="15.75">
      <c r="C8" s="3" t="s">
        <v>391</v>
      </c>
    </row>
    <row r="9" spans="3:3">
      <c r="C9" s="2" t="s">
        <v>392</v>
      </c>
    </row>
    <row r="10" spans="3:3" ht="15.75">
      <c r="C10" s="3" t="s">
        <v>391</v>
      </c>
    </row>
    <row r="11" spans="3:3">
      <c r="C11" s="2" t="s">
        <v>393</v>
      </c>
    </row>
    <row r="12" spans="3:3" ht="15.75">
      <c r="C12" s="3" t="s">
        <v>391</v>
      </c>
    </row>
    <row r="13" spans="3:3" ht="23.25">
      <c r="C13" s="1" t="s">
        <v>53</v>
      </c>
    </row>
    <row r="14" spans="3:3">
      <c r="C14" s="2" t="s">
        <v>159</v>
      </c>
    </row>
    <row r="15" spans="3:3" ht="15.75">
      <c r="C15" s="3" t="s">
        <v>394</v>
      </c>
    </row>
    <row r="16" spans="3:3">
      <c r="C16" s="2" t="s">
        <v>390</v>
      </c>
    </row>
    <row r="17" spans="3:3" ht="15.75">
      <c r="C17" s="3" t="s">
        <v>394</v>
      </c>
    </row>
    <row r="18" spans="3:3">
      <c r="C18" s="2" t="s">
        <v>159</v>
      </c>
    </row>
    <row r="19" spans="3:3" ht="15.75">
      <c r="C19" s="3" t="s">
        <v>395</v>
      </c>
    </row>
    <row r="20" spans="3:3">
      <c r="C20" s="2" t="s">
        <v>392</v>
      </c>
    </row>
    <row r="21" spans="3:3" ht="15.75">
      <c r="C21" s="3" t="s">
        <v>395</v>
      </c>
    </row>
    <row r="22" spans="3:3">
      <c r="C22" s="2" t="s">
        <v>393</v>
      </c>
    </row>
    <row r="23" spans="3:3" ht="15.75">
      <c r="C23" s="3" t="s">
        <v>395</v>
      </c>
    </row>
    <row r="24" spans="3:3" ht="23.25">
      <c r="C24" s="1" t="s">
        <v>70</v>
      </c>
    </row>
    <row r="25" spans="3:3">
      <c r="C25" s="2" t="s">
        <v>159</v>
      </c>
    </row>
    <row r="26" spans="3:3" ht="15.75">
      <c r="C26" s="3" t="s">
        <v>396</v>
      </c>
    </row>
    <row r="27" spans="3:3">
      <c r="C27" s="2" t="s">
        <v>390</v>
      </c>
    </row>
    <row r="28" spans="3:3" ht="15.75">
      <c r="C28" s="3" t="s">
        <v>396</v>
      </c>
    </row>
    <row r="29" spans="3:3">
      <c r="C29" s="2" t="s">
        <v>159</v>
      </c>
    </row>
    <row r="30" spans="3:3" ht="15.75">
      <c r="C30" s="3" t="s">
        <v>397</v>
      </c>
    </row>
    <row r="31" spans="3:3">
      <c r="C31" s="2" t="s">
        <v>392</v>
      </c>
    </row>
    <row r="32" spans="3:3" ht="15.75">
      <c r="C32" s="3" t="s">
        <v>397</v>
      </c>
    </row>
    <row r="33" spans="3:3">
      <c r="C33" s="2" t="s">
        <v>393</v>
      </c>
    </row>
    <row r="34" spans="3:3" ht="15.75">
      <c r="C34" s="3" t="s">
        <v>397</v>
      </c>
    </row>
    <row r="35" spans="3:3" ht="23.25">
      <c r="C35" s="1" t="s">
        <v>77</v>
      </c>
    </row>
    <row r="36" spans="3:3">
      <c r="C36" s="2" t="s">
        <v>159</v>
      </c>
    </row>
    <row r="37" spans="3:3" ht="15.75">
      <c r="C37" s="3" t="s">
        <v>398</v>
      </c>
    </row>
    <row r="38" spans="3:3">
      <c r="C38" s="2" t="s">
        <v>390</v>
      </c>
    </row>
    <row r="39" spans="3:3" ht="15.75">
      <c r="C39" s="3" t="s">
        <v>398</v>
      </c>
    </row>
    <row r="40" spans="3:3">
      <c r="C40" s="2" t="s">
        <v>159</v>
      </c>
    </row>
    <row r="41" spans="3:3" ht="15.75">
      <c r="C41" s="3" t="s">
        <v>399</v>
      </c>
    </row>
    <row r="42" spans="3:3">
      <c r="C42" s="2" t="s">
        <v>392</v>
      </c>
    </row>
    <row r="43" spans="3:3" ht="15.75">
      <c r="C43" s="3" t="s">
        <v>399</v>
      </c>
    </row>
    <row r="44" spans="3:3">
      <c r="C44" s="2" t="s">
        <v>393</v>
      </c>
    </row>
    <row r="45" spans="3:3" ht="15.75">
      <c r="C45" s="3" t="s">
        <v>399</v>
      </c>
    </row>
    <row r="46" spans="3:3" ht="23.25">
      <c r="C46" s="1" t="s">
        <v>54</v>
      </c>
    </row>
    <row r="47" spans="3:3">
      <c r="C47" s="2" t="s">
        <v>159</v>
      </c>
    </row>
    <row r="48" spans="3:3" ht="15.75">
      <c r="C48" s="3" t="s">
        <v>400</v>
      </c>
    </row>
    <row r="49" spans="3:3">
      <c r="C49" s="2" t="s">
        <v>390</v>
      </c>
    </row>
    <row r="50" spans="3:3" ht="15.75">
      <c r="C50" s="3" t="s">
        <v>400</v>
      </c>
    </row>
    <row r="51" spans="3:3">
      <c r="C51" s="2" t="s">
        <v>159</v>
      </c>
    </row>
    <row r="52" spans="3:3" ht="15.75">
      <c r="C52" s="3" t="s">
        <v>401</v>
      </c>
    </row>
    <row r="53" spans="3:3">
      <c r="C53" s="2" t="s">
        <v>390</v>
      </c>
    </row>
    <row r="54" spans="3:3" ht="15.75">
      <c r="C54" s="3" t="s">
        <v>401</v>
      </c>
    </row>
    <row r="55" spans="3:3">
      <c r="C55" s="2" t="s">
        <v>159</v>
      </c>
    </row>
    <row r="56" spans="3:3" ht="15.75">
      <c r="C56" s="3" t="s">
        <v>402</v>
      </c>
    </row>
    <row r="57" spans="3:3">
      <c r="C57" s="2" t="s">
        <v>392</v>
      </c>
    </row>
    <row r="58" spans="3:3" ht="15.75">
      <c r="C58" s="3" t="s">
        <v>402</v>
      </c>
    </row>
    <row r="59" spans="3:3">
      <c r="C59" s="2" t="s">
        <v>393</v>
      </c>
    </row>
    <row r="60" spans="3:3" ht="15.75">
      <c r="C60" s="3" t="s">
        <v>402</v>
      </c>
    </row>
    <row r="61" spans="3:3" ht="23.25">
      <c r="C61" s="1" t="s">
        <v>56</v>
      </c>
    </row>
    <row r="62" spans="3:3">
      <c r="C62" s="2" t="s">
        <v>159</v>
      </c>
    </row>
    <row r="63" spans="3:3" ht="15.75">
      <c r="C63" s="3" t="s">
        <v>403</v>
      </c>
    </row>
    <row r="64" spans="3:3">
      <c r="C64" s="2" t="s">
        <v>390</v>
      </c>
    </row>
    <row r="65" spans="3:3" ht="15.75">
      <c r="C65" s="3" t="s">
        <v>403</v>
      </c>
    </row>
    <row r="66" spans="3:3">
      <c r="C66" s="2" t="s">
        <v>159</v>
      </c>
    </row>
    <row r="67" spans="3:3" ht="15.75">
      <c r="C67" s="3" t="s">
        <v>404</v>
      </c>
    </row>
    <row r="68" spans="3:3">
      <c r="C68" s="2" t="s">
        <v>392</v>
      </c>
    </row>
    <row r="69" spans="3:3" ht="15.75">
      <c r="C69" s="3" t="s">
        <v>404</v>
      </c>
    </row>
    <row r="70" spans="3:3">
      <c r="C70" s="2" t="s">
        <v>393</v>
      </c>
    </row>
    <row r="71" spans="3:3" ht="15.75">
      <c r="C71" s="3" t="s">
        <v>404</v>
      </c>
    </row>
    <row r="72" spans="3:3">
      <c r="C72" s="2" t="s">
        <v>159</v>
      </c>
    </row>
    <row r="73" spans="3:3" ht="15.75">
      <c r="C73" s="3" t="s">
        <v>405</v>
      </c>
    </row>
    <row r="74" spans="3:3" ht="23.25">
      <c r="C74" s="1" t="s">
        <v>58</v>
      </c>
    </row>
    <row r="75" spans="3:3">
      <c r="C75" s="2" t="s">
        <v>159</v>
      </c>
    </row>
    <row r="76" spans="3:3" ht="15.75">
      <c r="C76" s="3" t="s">
        <v>406</v>
      </c>
    </row>
    <row r="77" spans="3:3">
      <c r="C77" s="2" t="s">
        <v>390</v>
      </c>
    </row>
    <row r="78" spans="3:3" ht="15.75">
      <c r="C78" s="3" t="s">
        <v>406</v>
      </c>
    </row>
    <row r="79" spans="3:3">
      <c r="C79" s="2" t="s">
        <v>159</v>
      </c>
    </row>
    <row r="80" spans="3:3" ht="15.75">
      <c r="C80" s="3" t="s">
        <v>407</v>
      </c>
    </row>
    <row r="81" spans="3:3">
      <c r="C81" s="2" t="s">
        <v>392</v>
      </c>
    </row>
    <row r="82" spans="3:3" ht="15.75">
      <c r="C82" s="3" t="s">
        <v>407</v>
      </c>
    </row>
    <row r="83" spans="3:3">
      <c r="C83" s="2" t="s">
        <v>393</v>
      </c>
    </row>
    <row r="84" spans="3:3" ht="15.75">
      <c r="C84" s="3" t="s">
        <v>407</v>
      </c>
    </row>
    <row r="85" spans="3:3">
      <c r="C85" s="2" t="s">
        <v>159</v>
      </c>
    </row>
    <row r="86" spans="3:3" ht="15.75">
      <c r="C86" s="3" t="s">
        <v>408</v>
      </c>
    </row>
    <row r="87" spans="3:3">
      <c r="C87" s="2" t="s">
        <v>392</v>
      </c>
    </row>
    <row r="88" spans="3:3" ht="15.75">
      <c r="C88" s="3" t="s">
        <v>409</v>
      </c>
    </row>
    <row r="89" spans="3:3">
      <c r="C89" s="2" t="s">
        <v>390</v>
      </c>
    </row>
    <row r="90" spans="3:3" ht="15.75">
      <c r="C90" s="3" t="s">
        <v>410</v>
      </c>
    </row>
    <row r="91" spans="3:3" ht="23.25">
      <c r="C91" s="1" t="s">
        <v>59</v>
      </c>
    </row>
    <row r="92" spans="3:3">
      <c r="C92" s="2" t="s">
        <v>159</v>
      </c>
    </row>
    <row r="93" spans="3:3" ht="15.75">
      <c r="C93" s="3" t="s">
        <v>411</v>
      </c>
    </row>
    <row r="94" spans="3:3">
      <c r="C94" s="2" t="s">
        <v>390</v>
      </c>
    </row>
    <row r="95" spans="3:3" ht="15.75">
      <c r="C95" s="3" t="s">
        <v>411</v>
      </c>
    </row>
    <row r="96" spans="3:3">
      <c r="C96" s="2" t="s">
        <v>159</v>
      </c>
    </row>
    <row r="97" spans="3:3" ht="15.75">
      <c r="C97" s="3" t="s">
        <v>412</v>
      </c>
    </row>
    <row r="98" spans="3:3">
      <c r="C98" s="2" t="s">
        <v>392</v>
      </c>
    </row>
    <row r="99" spans="3:3" ht="15.75">
      <c r="C99" s="3" t="s">
        <v>412</v>
      </c>
    </row>
    <row r="100" spans="3:3">
      <c r="C100" s="2" t="s">
        <v>393</v>
      </c>
    </row>
    <row r="101" spans="3:3" ht="15.75">
      <c r="C101" s="3" t="s">
        <v>412</v>
      </c>
    </row>
    <row r="102" spans="3:3">
      <c r="C102" s="2" t="s">
        <v>159</v>
      </c>
    </row>
    <row r="103" spans="3:3" ht="15.75">
      <c r="C103" s="3" t="s">
        <v>413</v>
      </c>
    </row>
    <row r="104" spans="3:3" ht="23.25">
      <c r="C104" s="1" t="s">
        <v>60</v>
      </c>
    </row>
    <row r="105" spans="3:3">
      <c r="C105" s="2" t="s">
        <v>159</v>
      </c>
    </row>
    <row r="106" spans="3:3" ht="15.75">
      <c r="C106" s="3" t="s">
        <v>414</v>
      </c>
    </row>
    <row r="107" spans="3:3">
      <c r="C107" s="2" t="s">
        <v>390</v>
      </c>
    </row>
    <row r="108" spans="3:3" ht="15.75">
      <c r="C108" s="3" t="s">
        <v>414</v>
      </c>
    </row>
    <row r="109" spans="3:3">
      <c r="C109" s="2" t="s">
        <v>159</v>
      </c>
    </row>
    <row r="110" spans="3:3" ht="15.75">
      <c r="C110" s="3" t="s">
        <v>415</v>
      </c>
    </row>
    <row r="111" spans="3:3">
      <c r="C111" s="2" t="s">
        <v>392</v>
      </c>
    </row>
    <row r="112" spans="3:3" ht="15.75">
      <c r="C112" s="3" t="s">
        <v>415</v>
      </c>
    </row>
    <row r="113" spans="3:3">
      <c r="C113" s="2" t="s">
        <v>393</v>
      </c>
    </row>
    <row r="114" spans="3:3" ht="15.75">
      <c r="C114" s="3" t="s">
        <v>415</v>
      </c>
    </row>
    <row r="115" spans="3:3" ht="23.25">
      <c r="C115" s="1" t="s">
        <v>78</v>
      </c>
    </row>
    <row r="116" spans="3:3">
      <c r="C116" s="2" t="s">
        <v>159</v>
      </c>
    </row>
    <row r="117" spans="3:3" ht="15.75">
      <c r="C117" s="3" t="s">
        <v>416</v>
      </c>
    </row>
    <row r="118" spans="3:3">
      <c r="C118" s="2" t="s">
        <v>390</v>
      </c>
    </row>
    <row r="119" spans="3:3" ht="15.75">
      <c r="C119" s="3" t="s">
        <v>416</v>
      </c>
    </row>
    <row r="120" spans="3:3">
      <c r="C120" s="2" t="s">
        <v>159</v>
      </c>
    </row>
    <row r="121" spans="3:3" ht="15.75">
      <c r="C121" s="3" t="s">
        <v>417</v>
      </c>
    </row>
    <row r="122" spans="3:3">
      <c r="C122" s="2" t="s">
        <v>392</v>
      </c>
    </row>
    <row r="123" spans="3:3" ht="15.75">
      <c r="C123" s="3" t="s">
        <v>417</v>
      </c>
    </row>
    <row r="124" spans="3:3">
      <c r="C124" s="2" t="s">
        <v>393</v>
      </c>
    </row>
    <row r="125" spans="3:3" ht="15.75">
      <c r="C125" s="3" t="s">
        <v>417</v>
      </c>
    </row>
    <row r="126" spans="3:3" ht="23.25">
      <c r="C126" s="1" t="s">
        <v>80</v>
      </c>
    </row>
    <row r="127" spans="3:3">
      <c r="C127" s="2" t="s">
        <v>159</v>
      </c>
    </row>
    <row r="128" spans="3:3" ht="15.75">
      <c r="C128" s="3" t="s">
        <v>418</v>
      </c>
    </row>
    <row r="129" spans="3:3">
      <c r="C129" s="2" t="s">
        <v>390</v>
      </c>
    </row>
    <row r="130" spans="3:3" ht="15.75">
      <c r="C130" s="3" t="s">
        <v>418</v>
      </c>
    </row>
    <row r="131" spans="3:3">
      <c r="C131" s="2" t="s">
        <v>159</v>
      </c>
    </row>
    <row r="132" spans="3:3" ht="15.75">
      <c r="C132" s="3" t="s">
        <v>419</v>
      </c>
    </row>
    <row r="133" spans="3:3">
      <c r="C133" s="2" t="s">
        <v>392</v>
      </c>
    </row>
    <row r="134" spans="3:3" ht="15.75">
      <c r="C134" s="3" t="s">
        <v>419</v>
      </c>
    </row>
    <row r="135" spans="3:3">
      <c r="C135" s="2" t="s">
        <v>393</v>
      </c>
    </row>
    <row r="136" spans="3:3" ht="15.75">
      <c r="C136" s="3" t="s">
        <v>419</v>
      </c>
    </row>
    <row r="137" spans="3:3" ht="23.25">
      <c r="C137" s="1" t="s">
        <v>420</v>
      </c>
    </row>
    <row r="138" spans="3:3">
      <c r="C138" s="2" t="s">
        <v>390</v>
      </c>
    </row>
    <row r="139" spans="3:3" ht="15.75">
      <c r="C139" s="3" t="s">
        <v>421</v>
      </c>
    </row>
    <row r="140" spans="3:3" ht="23.25">
      <c r="C140" s="1" t="s">
        <v>81</v>
      </c>
    </row>
    <row r="141" spans="3:3">
      <c r="C141" s="2" t="s">
        <v>159</v>
      </c>
    </row>
    <row r="142" spans="3:3" ht="15.75">
      <c r="C142" s="3" t="s">
        <v>422</v>
      </c>
    </row>
    <row r="143" spans="3:3">
      <c r="C143" s="2" t="s">
        <v>390</v>
      </c>
    </row>
    <row r="144" spans="3:3" ht="15.75">
      <c r="C144" s="3" t="s">
        <v>422</v>
      </c>
    </row>
    <row r="145" spans="3:3">
      <c r="C145" s="2" t="s">
        <v>159</v>
      </c>
    </row>
    <row r="146" spans="3:3" ht="15.75">
      <c r="C146" s="3" t="s">
        <v>423</v>
      </c>
    </row>
    <row r="147" spans="3:3">
      <c r="C147" s="2" t="s">
        <v>392</v>
      </c>
    </row>
    <row r="148" spans="3:3" ht="15.75">
      <c r="C148" s="3" t="s">
        <v>423</v>
      </c>
    </row>
    <row r="149" spans="3:3">
      <c r="C149" s="2" t="s">
        <v>393</v>
      </c>
    </row>
    <row r="150" spans="3:3" ht="15.75">
      <c r="C150" s="3" t="s">
        <v>423</v>
      </c>
    </row>
    <row r="151" spans="3:3">
      <c r="C151" s="2" t="s">
        <v>159</v>
      </c>
    </row>
    <row r="152" spans="3:3" ht="15.75">
      <c r="C152" s="3" t="s">
        <v>424</v>
      </c>
    </row>
    <row r="153" spans="3:3" ht="23.25">
      <c r="C153" s="1" t="s">
        <v>83</v>
      </c>
    </row>
    <row r="154" spans="3:3">
      <c r="C154" s="2" t="s">
        <v>390</v>
      </c>
    </row>
    <row r="155" spans="3:3" ht="15.75">
      <c r="C155" s="3" t="s">
        <v>425</v>
      </c>
    </row>
    <row r="156" spans="3:3" ht="23.25">
      <c r="C156" s="1" t="s">
        <v>84</v>
      </c>
    </row>
    <row r="157" spans="3:3">
      <c r="C157" s="2" t="s">
        <v>159</v>
      </c>
    </row>
    <row r="158" spans="3:3" ht="15.75">
      <c r="C158" s="3" t="s">
        <v>426</v>
      </c>
    </row>
    <row r="159" spans="3:3" ht="23.25">
      <c r="C159" s="1" t="s">
        <v>94</v>
      </c>
    </row>
    <row r="160" spans="3:3">
      <c r="C160" s="2" t="s">
        <v>159</v>
      </c>
    </row>
    <row r="161" spans="3:3" ht="15.75">
      <c r="C161" s="3" t="s">
        <v>427</v>
      </c>
    </row>
    <row r="162" spans="3:3">
      <c r="C162" s="2" t="s">
        <v>390</v>
      </c>
    </row>
    <row r="163" spans="3:3" ht="15.75">
      <c r="C163" s="3" t="s">
        <v>427</v>
      </c>
    </row>
    <row r="164" spans="3:3">
      <c r="C164" s="2" t="s">
        <v>159</v>
      </c>
    </row>
    <row r="165" spans="3:3" ht="15.75">
      <c r="C165" s="3" t="s">
        <v>428</v>
      </c>
    </row>
    <row r="166" spans="3:3">
      <c r="C166" s="2" t="s">
        <v>159</v>
      </c>
    </row>
    <row r="167" spans="3:3" ht="15.75">
      <c r="C167" s="3" t="s">
        <v>429</v>
      </c>
    </row>
    <row r="168" spans="3:3">
      <c r="C168" s="2" t="s">
        <v>392</v>
      </c>
    </row>
    <row r="169" spans="3:3" ht="15.75">
      <c r="C169" s="3" t="s">
        <v>430</v>
      </c>
    </row>
    <row r="170" spans="3:3">
      <c r="C170" s="2" t="s">
        <v>393</v>
      </c>
    </row>
    <row r="171" spans="3:3" ht="15.75">
      <c r="C171" s="3" t="s">
        <v>430</v>
      </c>
    </row>
    <row r="172" spans="3:3" ht="23.25">
      <c r="C172" s="1" t="s">
        <v>64</v>
      </c>
    </row>
    <row r="173" spans="3:3">
      <c r="C173" s="2" t="s">
        <v>159</v>
      </c>
    </row>
    <row r="174" spans="3:3" ht="15.75">
      <c r="C174" s="3" t="s">
        <v>431</v>
      </c>
    </row>
    <row r="175" spans="3:3">
      <c r="C175" s="2" t="s">
        <v>390</v>
      </c>
    </row>
    <row r="176" spans="3:3" ht="15.75">
      <c r="C176" s="3" t="s">
        <v>431</v>
      </c>
    </row>
    <row r="177" spans="3:3">
      <c r="C177" s="2" t="s">
        <v>159</v>
      </c>
    </row>
    <row r="178" spans="3:3" ht="15.75">
      <c r="C178" s="3" t="s">
        <v>432</v>
      </c>
    </row>
    <row r="179" spans="3:3">
      <c r="C179" s="2" t="s">
        <v>392</v>
      </c>
    </row>
    <row r="180" spans="3:3" ht="15.75">
      <c r="C180" s="3" t="s">
        <v>432</v>
      </c>
    </row>
    <row r="181" spans="3:3">
      <c r="C181" s="2" t="s">
        <v>393</v>
      </c>
    </row>
    <row r="182" spans="3:3" ht="15.75">
      <c r="C182" s="3" t="s">
        <v>432</v>
      </c>
    </row>
    <row r="183" spans="3:3" ht="23.25">
      <c r="C183" s="1" t="s">
        <v>65</v>
      </c>
    </row>
    <row r="184" spans="3:3">
      <c r="C184" s="2" t="s">
        <v>159</v>
      </c>
    </row>
    <row r="185" spans="3:3" ht="15.75">
      <c r="C185" s="3" t="s">
        <v>433</v>
      </c>
    </row>
    <row r="186" spans="3:3">
      <c r="C186" s="2" t="s">
        <v>390</v>
      </c>
    </row>
    <row r="187" spans="3:3" ht="15.75">
      <c r="C187" s="3" t="s">
        <v>433</v>
      </c>
    </row>
    <row r="188" spans="3:3">
      <c r="C188" s="2" t="s">
        <v>159</v>
      </c>
    </row>
    <row r="189" spans="3:3" ht="15.75">
      <c r="C189" s="3" t="s">
        <v>434</v>
      </c>
    </row>
    <row r="190" spans="3:3">
      <c r="C190" s="2" t="s">
        <v>392</v>
      </c>
    </row>
    <row r="191" spans="3:3" ht="15.75">
      <c r="C191" s="3" t="s">
        <v>434</v>
      </c>
    </row>
    <row r="192" spans="3:3">
      <c r="C192" s="2" t="s">
        <v>393</v>
      </c>
    </row>
    <row r="193" spans="3:3" ht="15.75">
      <c r="C193" s="3" t="s">
        <v>434</v>
      </c>
    </row>
    <row r="194" spans="3:3">
      <c r="C194" s="2" t="s">
        <v>392</v>
      </c>
    </row>
    <row r="195" spans="3:3" ht="15.75">
      <c r="C195" s="3" t="s">
        <v>435</v>
      </c>
    </row>
    <row r="196" spans="3:3">
      <c r="C196" s="2" t="s">
        <v>392</v>
      </c>
    </row>
    <row r="197" spans="3:3" ht="15.75">
      <c r="C197" s="3" t="s">
        <v>436</v>
      </c>
    </row>
    <row r="198" spans="3:3" ht="23.25">
      <c r="C198" s="1" t="s">
        <v>66</v>
      </c>
    </row>
    <row r="199" spans="3:3">
      <c r="C199" s="2" t="s">
        <v>159</v>
      </c>
    </row>
    <row r="200" spans="3:3" ht="15.75">
      <c r="C200" s="3" t="s">
        <v>437</v>
      </c>
    </row>
    <row r="201" spans="3:3">
      <c r="C201" s="2" t="s">
        <v>390</v>
      </c>
    </row>
    <row r="202" spans="3:3" ht="15.75">
      <c r="C202" s="3" t="s">
        <v>437</v>
      </c>
    </row>
    <row r="203" spans="3:3">
      <c r="C203" s="2" t="s">
        <v>159</v>
      </c>
    </row>
    <row r="204" spans="3:3" ht="15.75">
      <c r="C204" s="3" t="s">
        <v>438</v>
      </c>
    </row>
    <row r="205" spans="3:3">
      <c r="C205" s="2" t="s">
        <v>392</v>
      </c>
    </row>
    <row r="206" spans="3:3" ht="15.75">
      <c r="C206" s="3" t="s">
        <v>438</v>
      </c>
    </row>
    <row r="207" spans="3:3">
      <c r="C207" s="2" t="s">
        <v>393</v>
      </c>
    </row>
    <row r="208" spans="3:3" ht="15.75">
      <c r="C208" s="3" t="s">
        <v>438</v>
      </c>
    </row>
    <row r="209" spans="3:3">
      <c r="C209" s="2" t="s">
        <v>159</v>
      </c>
    </row>
    <row r="210" spans="3:3" ht="15.75">
      <c r="C210" s="3" t="s">
        <v>439</v>
      </c>
    </row>
    <row r="211" spans="3:3" ht="23.25">
      <c r="C211" s="1" t="s">
        <v>67</v>
      </c>
    </row>
    <row r="212" spans="3:3">
      <c r="C212" s="2" t="s">
        <v>159</v>
      </c>
    </row>
    <row r="213" spans="3:3" ht="15.75">
      <c r="C213" s="3" t="s">
        <v>440</v>
      </c>
    </row>
    <row r="214" spans="3:3">
      <c r="C214" s="2" t="s">
        <v>390</v>
      </c>
    </row>
    <row r="215" spans="3:3" ht="15.75">
      <c r="C215" s="3" t="s">
        <v>440</v>
      </c>
    </row>
    <row r="216" spans="3:3">
      <c r="C216" s="2" t="s">
        <v>159</v>
      </c>
    </row>
    <row r="217" spans="3:3" ht="15.75">
      <c r="C217" s="3" t="s">
        <v>441</v>
      </c>
    </row>
    <row r="218" spans="3:3">
      <c r="C218" s="2" t="s">
        <v>392</v>
      </c>
    </row>
    <row r="219" spans="3:3" ht="15.75">
      <c r="C219" s="3" t="s">
        <v>441</v>
      </c>
    </row>
    <row r="220" spans="3:3">
      <c r="C220" s="2" t="s">
        <v>393</v>
      </c>
    </row>
    <row r="221" spans="3:3" ht="15.75">
      <c r="C221" s="3" t="s">
        <v>441</v>
      </c>
    </row>
    <row r="222" spans="3:3">
      <c r="C222" s="2" t="s">
        <v>159</v>
      </c>
    </row>
    <row r="223" spans="3:3" ht="15.75">
      <c r="C223" s="3" t="s">
        <v>442</v>
      </c>
    </row>
    <row r="224" spans="3:3" ht="23.25">
      <c r="C224" s="1" t="s">
        <v>91</v>
      </c>
    </row>
    <row r="225" spans="3:3">
      <c r="C225" s="2" t="s">
        <v>390</v>
      </c>
    </row>
    <row r="226" spans="3:3" ht="15.75">
      <c r="C226" s="3" t="s">
        <v>443</v>
      </c>
    </row>
    <row r="227" spans="3:3" ht="23.25">
      <c r="C227" s="1" t="s">
        <v>68</v>
      </c>
    </row>
    <row r="228" spans="3:3">
      <c r="C228" s="2" t="s">
        <v>159</v>
      </c>
    </row>
    <row r="229" spans="3:3" ht="15.75">
      <c r="C229" s="3" t="s">
        <v>444</v>
      </c>
    </row>
    <row r="230" spans="3:3">
      <c r="C230" s="2" t="s">
        <v>390</v>
      </c>
    </row>
    <row r="231" spans="3:3" ht="15.75">
      <c r="C231" s="3" t="s">
        <v>444</v>
      </c>
    </row>
    <row r="232" spans="3:3">
      <c r="C232" s="2" t="s">
        <v>159</v>
      </c>
    </row>
    <row r="233" spans="3:3" ht="15.75">
      <c r="C233" s="3" t="s">
        <v>445</v>
      </c>
    </row>
    <row r="234" spans="3:3">
      <c r="C234" s="2" t="s">
        <v>392</v>
      </c>
    </row>
    <row r="235" spans="3:3" ht="15.75">
      <c r="C235" s="3" t="s">
        <v>445</v>
      </c>
    </row>
    <row r="236" spans="3:3">
      <c r="C236" s="2" t="s">
        <v>393</v>
      </c>
    </row>
    <row r="237" spans="3:3" ht="15.75">
      <c r="C237" s="3" t="s">
        <v>445</v>
      </c>
    </row>
    <row r="238" spans="3:3">
      <c r="C238" s="2" t="s">
        <v>159</v>
      </c>
    </row>
    <row r="239" spans="3:3" ht="15.75">
      <c r="C239" s="3" t="s">
        <v>446</v>
      </c>
    </row>
    <row r="240" spans="3:3" ht="23.25">
      <c r="C240" s="1" t="s">
        <v>92</v>
      </c>
    </row>
    <row r="241" spans="3:3">
      <c r="C241" s="2" t="s">
        <v>159</v>
      </c>
    </row>
    <row r="242" spans="3:3" ht="15.75">
      <c r="C242" s="3" t="s">
        <v>447</v>
      </c>
    </row>
    <row r="243" spans="3:3">
      <c r="C243" s="2" t="s">
        <v>390</v>
      </c>
    </row>
    <row r="244" spans="3:3" ht="15.75">
      <c r="C244" s="3" t="s">
        <v>447</v>
      </c>
    </row>
    <row r="245" spans="3:3">
      <c r="C245" s="2" t="s">
        <v>159</v>
      </c>
    </row>
    <row r="246" spans="3:3" ht="15.75">
      <c r="C246" s="3" t="s">
        <v>448</v>
      </c>
    </row>
    <row r="247" spans="3:3">
      <c r="C247" s="2" t="s">
        <v>392</v>
      </c>
    </row>
    <row r="248" spans="3:3" ht="15.75">
      <c r="C248" s="3" t="s">
        <v>448</v>
      </c>
    </row>
    <row r="249" spans="3:3">
      <c r="C249" s="2" t="s">
        <v>393</v>
      </c>
    </row>
    <row r="250" spans="3:3" ht="15.75">
      <c r="C250" s="3" t="s">
        <v>448</v>
      </c>
    </row>
    <row r="251" spans="3:3" ht="23.25">
      <c r="C251" s="1" t="s">
        <v>93</v>
      </c>
    </row>
    <row r="252" spans="3:3">
      <c r="C252" s="2" t="s">
        <v>159</v>
      </c>
    </row>
    <row r="253" spans="3:3" ht="15.75">
      <c r="C253" s="3" t="s">
        <v>449</v>
      </c>
    </row>
    <row r="254" spans="3:3">
      <c r="C254" s="2" t="s">
        <v>390</v>
      </c>
    </row>
    <row r="255" spans="3:3" ht="15.75">
      <c r="C255" s="3" t="s">
        <v>449</v>
      </c>
    </row>
    <row r="256" spans="3:3">
      <c r="C256" s="2" t="s">
        <v>159</v>
      </c>
    </row>
    <row r="257" spans="3:3" ht="15.75">
      <c r="C257" s="3" t="s">
        <v>450</v>
      </c>
    </row>
    <row r="258" spans="3:3">
      <c r="C258" s="2" t="s">
        <v>392</v>
      </c>
    </row>
    <row r="259" spans="3:3" ht="15.75">
      <c r="C259" s="3" t="s">
        <v>450</v>
      </c>
    </row>
    <row r="260" spans="3:3">
      <c r="C260" s="2" t="s">
        <v>393</v>
      </c>
    </row>
    <row r="261" spans="3:3" ht="15.75">
      <c r="C261" s="3" t="s">
        <v>450</v>
      </c>
    </row>
    <row r="262" spans="3:3" ht="23.25">
      <c r="C262" s="1" t="s">
        <v>69</v>
      </c>
    </row>
    <row r="263" spans="3:3">
      <c r="C263" s="2" t="s">
        <v>159</v>
      </c>
    </row>
    <row r="264" spans="3:3" ht="15.75">
      <c r="C264" s="3" t="s">
        <v>451</v>
      </c>
    </row>
    <row r="265" spans="3:3">
      <c r="C265" s="2" t="s">
        <v>390</v>
      </c>
    </row>
    <row r="266" spans="3:3" ht="15.75">
      <c r="C266" s="3" t="s">
        <v>451</v>
      </c>
    </row>
    <row r="267" spans="3:3">
      <c r="C267" s="2" t="s">
        <v>159</v>
      </c>
    </row>
    <row r="268" spans="3:3" ht="15.75">
      <c r="C268" s="3" t="s">
        <v>452</v>
      </c>
    </row>
    <row r="269" spans="3:3">
      <c r="C269" s="2" t="s">
        <v>392</v>
      </c>
    </row>
    <row r="270" spans="3:3" ht="15.75">
      <c r="C270" s="3" t="s">
        <v>452</v>
      </c>
    </row>
    <row r="271" spans="3:3">
      <c r="C271" s="2" t="s">
        <v>393</v>
      </c>
    </row>
    <row r="272" spans="3:3" ht="15.75">
      <c r="C272" s="3" t="s">
        <v>452</v>
      </c>
    </row>
    <row r="273" spans="3:3" ht="23.25">
      <c r="C273" s="1" t="s">
        <v>85</v>
      </c>
    </row>
    <row r="274" spans="3:3">
      <c r="C274" s="2" t="s">
        <v>159</v>
      </c>
    </row>
    <row r="275" spans="3:3" ht="15.75">
      <c r="C275" s="3" t="s">
        <v>453</v>
      </c>
    </row>
    <row r="276" spans="3:3">
      <c r="C276" s="2" t="s">
        <v>390</v>
      </c>
    </row>
    <row r="277" spans="3:3" ht="15.75">
      <c r="C277" s="3" t="s">
        <v>453</v>
      </c>
    </row>
    <row r="278" spans="3:3">
      <c r="C278" s="2" t="s">
        <v>159</v>
      </c>
    </row>
    <row r="279" spans="3:3" ht="15.75">
      <c r="C279" s="3" t="s">
        <v>454</v>
      </c>
    </row>
    <row r="280" spans="3:3">
      <c r="C280" s="2" t="s">
        <v>392</v>
      </c>
    </row>
    <row r="281" spans="3:3" ht="15.75">
      <c r="C281" s="3" t="s">
        <v>454</v>
      </c>
    </row>
    <row r="282" spans="3:3">
      <c r="C282" s="2" t="s">
        <v>393</v>
      </c>
    </row>
    <row r="283" spans="3:3" ht="15.75">
      <c r="C283" s="3" t="s">
        <v>454</v>
      </c>
    </row>
    <row r="284" spans="3:3">
      <c r="C284" s="2" t="s">
        <v>159</v>
      </c>
    </row>
    <row r="285" spans="3:3" ht="15.75">
      <c r="C285" s="3" t="s">
        <v>455</v>
      </c>
    </row>
    <row r="286" spans="3:3">
      <c r="C286" s="2" t="s">
        <v>392</v>
      </c>
    </row>
    <row r="287" spans="3:3" ht="15.75">
      <c r="C287" s="3" t="s">
        <v>456</v>
      </c>
    </row>
    <row r="288" spans="3:3" ht="23.25">
      <c r="C288" s="1" t="s">
        <v>96</v>
      </c>
    </row>
    <row r="289" spans="3:3">
      <c r="C289" s="2" t="s">
        <v>159</v>
      </c>
    </row>
    <row r="290" spans="3:3" ht="15.75">
      <c r="C290" s="3" t="s">
        <v>457</v>
      </c>
    </row>
    <row r="291" spans="3:3">
      <c r="C291" s="2" t="s">
        <v>390</v>
      </c>
    </row>
    <row r="292" spans="3:3" ht="15.75">
      <c r="C292" s="3" t="s">
        <v>457</v>
      </c>
    </row>
    <row r="293" spans="3:3">
      <c r="C293" s="2" t="s">
        <v>159</v>
      </c>
    </row>
    <row r="294" spans="3:3" ht="15.75">
      <c r="C294" s="3" t="s">
        <v>458</v>
      </c>
    </row>
    <row r="295" spans="3:3">
      <c r="C295" s="2" t="s">
        <v>392</v>
      </c>
    </row>
    <row r="296" spans="3:3" ht="15.75">
      <c r="C296" s="3" t="s">
        <v>458</v>
      </c>
    </row>
    <row r="297" spans="3:3">
      <c r="C297" s="2" t="s">
        <v>393</v>
      </c>
    </row>
    <row r="298" spans="3:3" ht="15.75">
      <c r="C298" s="3" t="s">
        <v>458</v>
      </c>
    </row>
    <row r="299" spans="3:3" ht="23.25">
      <c r="C299" s="1" t="s">
        <v>97</v>
      </c>
    </row>
    <row r="300" spans="3:3">
      <c r="C300" s="2" t="s">
        <v>159</v>
      </c>
    </row>
    <row r="301" spans="3:3" ht="15.75">
      <c r="C301" s="3" t="s">
        <v>459</v>
      </c>
    </row>
    <row r="302" spans="3:3">
      <c r="C302" s="2" t="s">
        <v>390</v>
      </c>
    </row>
    <row r="303" spans="3:3" ht="15.75">
      <c r="C303" s="3" t="s">
        <v>459</v>
      </c>
    </row>
    <row r="304" spans="3:3">
      <c r="C304" s="2" t="s">
        <v>159</v>
      </c>
    </row>
    <row r="305" spans="3:3" ht="15.75">
      <c r="C305" s="3" t="s">
        <v>460</v>
      </c>
    </row>
    <row r="306" spans="3:3">
      <c r="C306" s="2" t="s">
        <v>392</v>
      </c>
    </row>
    <row r="307" spans="3:3" ht="15.75">
      <c r="C307" s="3" t="s">
        <v>460</v>
      </c>
    </row>
    <row r="308" spans="3:3">
      <c r="C308" s="2" t="s">
        <v>393</v>
      </c>
    </row>
    <row r="309" spans="3:3" ht="15.75">
      <c r="C309" s="3" t="s">
        <v>460</v>
      </c>
    </row>
    <row r="310" spans="3:3" ht="23.25">
      <c r="C310" s="1" t="s">
        <v>98</v>
      </c>
    </row>
    <row r="311" spans="3:3">
      <c r="C311" s="2" t="s">
        <v>159</v>
      </c>
    </row>
    <row r="312" spans="3:3" ht="15.75">
      <c r="C312" s="3" t="s">
        <v>461</v>
      </c>
    </row>
    <row r="313" spans="3:3">
      <c r="C313" s="2" t="s">
        <v>390</v>
      </c>
    </row>
    <row r="314" spans="3:3" ht="15.75">
      <c r="C314" s="3" t="s">
        <v>461</v>
      </c>
    </row>
    <row r="315" spans="3:3">
      <c r="C315" s="2" t="s">
        <v>159</v>
      </c>
    </row>
    <row r="316" spans="3:3" ht="15.75">
      <c r="C316" s="3" t="s">
        <v>462</v>
      </c>
    </row>
    <row r="317" spans="3:3">
      <c r="C317" s="2" t="s">
        <v>392</v>
      </c>
    </row>
    <row r="318" spans="3:3" ht="15.75">
      <c r="C318" s="3" t="s">
        <v>462</v>
      </c>
    </row>
    <row r="319" spans="3:3">
      <c r="C319" s="2" t="s">
        <v>393</v>
      </c>
    </row>
    <row r="320" spans="3:3" ht="15.75">
      <c r="C320" s="3" t="s">
        <v>462</v>
      </c>
    </row>
    <row r="321" spans="3:3">
      <c r="C321" s="2" t="s">
        <v>392</v>
      </c>
    </row>
    <row r="322" spans="3:3" ht="15.75">
      <c r="C322" s="3" t="s">
        <v>463</v>
      </c>
    </row>
    <row r="323" spans="3:3" ht="23.25">
      <c r="C323" s="1" t="s">
        <v>99</v>
      </c>
    </row>
    <row r="324" spans="3:3">
      <c r="C324" s="2" t="s">
        <v>159</v>
      </c>
    </row>
    <row r="325" spans="3:3" ht="15.75">
      <c r="C325" s="3" t="s">
        <v>464</v>
      </c>
    </row>
    <row r="326" spans="3:3">
      <c r="C326" s="2" t="s">
        <v>390</v>
      </c>
    </row>
    <row r="327" spans="3:3" ht="15.75">
      <c r="C327" s="3" t="s">
        <v>464</v>
      </c>
    </row>
    <row r="328" spans="3:3">
      <c r="C328" s="2" t="s">
        <v>159</v>
      </c>
    </row>
    <row r="329" spans="3:3" ht="15.75">
      <c r="C329" s="3" t="s">
        <v>465</v>
      </c>
    </row>
    <row r="330" spans="3:3">
      <c r="C330" s="2" t="s">
        <v>392</v>
      </c>
    </row>
    <row r="331" spans="3:3" ht="15.75">
      <c r="C331" s="3" t="s">
        <v>465</v>
      </c>
    </row>
    <row r="332" spans="3:3">
      <c r="C332" s="2" t="s">
        <v>393</v>
      </c>
    </row>
    <row r="333" spans="3:3" ht="15.75">
      <c r="C333" s="3" t="s">
        <v>465</v>
      </c>
    </row>
    <row r="334" spans="3:3">
      <c r="C334" s="2" t="s">
        <v>159</v>
      </c>
    </row>
    <row r="335" spans="3:3" ht="15.75">
      <c r="C335" s="3" t="s">
        <v>466</v>
      </c>
    </row>
    <row r="336" spans="3:3" ht="23.25">
      <c r="C336" s="1" t="s">
        <v>100</v>
      </c>
    </row>
    <row r="337" spans="3:3">
      <c r="C337" s="2" t="s">
        <v>159</v>
      </c>
    </row>
    <row r="338" spans="3:3" ht="15.75">
      <c r="C338" s="3" t="s">
        <v>467</v>
      </c>
    </row>
    <row r="339" spans="3:3">
      <c r="C339" s="2" t="s">
        <v>390</v>
      </c>
    </row>
    <row r="340" spans="3:3" ht="15.75">
      <c r="C340" s="3" t="s">
        <v>467</v>
      </c>
    </row>
    <row r="341" spans="3:3">
      <c r="C341" s="2" t="s">
        <v>159</v>
      </c>
    </row>
    <row r="342" spans="3:3" ht="15.75">
      <c r="C342" s="3" t="s">
        <v>468</v>
      </c>
    </row>
    <row r="343" spans="3:3">
      <c r="C343" s="2" t="s">
        <v>392</v>
      </c>
    </row>
    <row r="344" spans="3:3" ht="15.75">
      <c r="C344" s="3" t="s">
        <v>468</v>
      </c>
    </row>
    <row r="345" spans="3:3">
      <c r="C345" s="2" t="s">
        <v>393</v>
      </c>
    </row>
    <row r="346" spans="3:3" ht="15.75">
      <c r="C346" s="3" t="s">
        <v>468</v>
      </c>
    </row>
    <row r="347" spans="3:3">
      <c r="C347" s="2" t="s">
        <v>159</v>
      </c>
    </row>
    <row r="348" spans="3:3" ht="15.75">
      <c r="C348" s="3" t="s">
        <v>469</v>
      </c>
    </row>
    <row r="349" spans="3:3">
      <c r="C349" s="2" t="s">
        <v>392</v>
      </c>
    </row>
    <row r="350" spans="3:3" ht="15.75">
      <c r="C350" s="3" t="s">
        <v>470</v>
      </c>
    </row>
    <row r="351" spans="3:3" ht="23.25">
      <c r="C351" s="1" t="s">
        <v>101</v>
      </c>
    </row>
    <row r="352" spans="3:3">
      <c r="C352" s="2" t="s">
        <v>159</v>
      </c>
    </row>
    <row r="353" spans="3:3" ht="15.75">
      <c r="C353" s="3" t="s">
        <v>471</v>
      </c>
    </row>
    <row r="354" spans="3:3">
      <c r="C354" s="2" t="s">
        <v>390</v>
      </c>
    </row>
    <row r="355" spans="3:3" ht="15.75">
      <c r="C355" s="3" t="s">
        <v>471</v>
      </c>
    </row>
    <row r="356" spans="3:3">
      <c r="C356" s="2" t="s">
        <v>159</v>
      </c>
    </row>
    <row r="357" spans="3:3" ht="15.75">
      <c r="C357" s="3" t="s">
        <v>472</v>
      </c>
    </row>
    <row r="358" spans="3:3">
      <c r="C358" s="2" t="s">
        <v>392</v>
      </c>
    </row>
    <row r="359" spans="3:3" ht="15.75">
      <c r="C359" s="3" t="s">
        <v>472</v>
      </c>
    </row>
    <row r="360" spans="3:3">
      <c r="C360" s="2" t="s">
        <v>393</v>
      </c>
    </row>
    <row r="361" spans="3:3" ht="15.75">
      <c r="C361" s="3" t="s">
        <v>472</v>
      </c>
    </row>
    <row r="362" spans="3:3">
      <c r="C362" s="2" t="s">
        <v>159</v>
      </c>
    </row>
    <row r="363" spans="3:3" ht="15.75">
      <c r="C363" s="3" t="s">
        <v>473</v>
      </c>
    </row>
    <row r="364" spans="3:3" ht="23.25">
      <c r="C364" s="1" t="s">
        <v>158</v>
      </c>
    </row>
    <row r="365" spans="3:3">
      <c r="C365" s="2" t="s">
        <v>159</v>
      </c>
    </row>
    <row r="366" spans="3:3" ht="15.75">
      <c r="C366" s="3" t="s">
        <v>474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cc66ad5-fb7b-495d-b30f-85bcbad3d1e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00B47EA377D742AD885E0F788B1A50" ma:contentTypeVersion="11" ma:contentTypeDescription="Create a new document." ma:contentTypeScope="" ma:versionID="d8565c046157556cd95bcab9f4b63bfa">
  <xsd:schema xmlns:xsd="http://www.w3.org/2001/XMLSchema" xmlns:xs="http://www.w3.org/2001/XMLSchema" xmlns:p="http://schemas.microsoft.com/office/2006/metadata/properties" xmlns:ns3="2cc66ad5-fb7b-495d-b30f-85bcbad3d1ef" targetNamespace="http://schemas.microsoft.com/office/2006/metadata/properties" ma:root="true" ma:fieldsID="9693a5ef66d0656813adf7803e74f3a8" ns3:_="">
    <xsd:import namespace="2cc66ad5-fb7b-495d-b30f-85bcbad3d1e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c66ad5-fb7b-495d-b30f-85bcbad3d1e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23DCEE-0DED-4E3A-ABFE-A3B509BB35E5}">
  <ds:schemaRefs>
    <ds:schemaRef ds:uri="http://purl.org/dc/elements/1.1/"/>
    <ds:schemaRef ds:uri="2cc66ad5-fb7b-495d-b30f-85bcbad3d1ef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5896B7F-FB78-4F96-BAD5-F247873FCD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8DCDDC-FA8D-4CDD-B719-EC51C3E95E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c66ad5-fb7b-495d-b30f-85bcbad3d1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UI TOTALS</vt:lpstr>
      <vt:lpstr>ControllersLogicByType</vt:lpstr>
      <vt:lpstr>UIHTML</vt:lpstr>
      <vt:lpstr>UIREACT</vt:lpstr>
      <vt:lpstr>UIIONIC</vt:lpstr>
      <vt:lpstr>UIMANAGEROTHER</vt:lpstr>
      <vt:lpstr>BackOfficeBreakout</vt:lpstr>
      <vt:lpstr>FrontOfficeBreakout</vt:lpstr>
      <vt:lpstr>LSINFO</vt:lpstr>
      <vt:lpstr>AllEndpointsDetail-S1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Stritzinger, John</dc:creator>
  <cp:keywords/>
  <dc:description/>
  <cp:lastModifiedBy>Stritzinger, John</cp:lastModifiedBy>
  <cp:revision/>
  <dcterms:created xsi:type="dcterms:W3CDTF">2025-11-07T17:31:25Z</dcterms:created>
  <dcterms:modified xsi:type="dcterms:W3CDTF">2025-12-11T17:05:40Z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0x010100F300B47EA377D742AD885E0F788B1A50</vt:lpwstr>
  </property>
</Properties>
</file>