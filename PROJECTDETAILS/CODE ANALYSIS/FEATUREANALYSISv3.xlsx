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stritzj_email_sc_edu/Documents/CSCE547G/CODEANALYSIS/"/>
    </mc:Choice>
  </mc:AlternateContent>
  <xr:revisionPtr revIDLastSave="1" documentId="8_{37F3CE3F-A10C-40C6-BC8D-9E715093F232}" xr6:coauthVersionLast="47" xr6:coauthVersionMax="47" xr10:uidLastSave="{7A1A395F-D19E-4563-847B-53B1FA262A0D}"/>
  <bookViews>
    <workbookView xWindow="-120" yWindow="-120" windowWidth="29040" windowHeight="15720" activeTab="1" xr2:uid="{6AAFF3C5-F9A6-4B78-B1E5-6E2264573B52}"/>
  </bookViews>
  <sheets>
    <sheet name="Rubric" sheetId="1" r:id="rId1"/>
    <sheet name="ALLGrad" sheetId="2" r:id="rId2"/>
    <sheet name="Summary24And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  <c r="C96" i="2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8" i="3" s="1"/>
  <c r="C27" i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27" i="2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5" i="3" s="1"/>
  <c r="C21" i="3" s="1"/>
  <c r="C49" i="2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4" i="3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80" i="2" l="1"/>
  <c r="C82" i="2" s="1"/>
  <c r="C83" i="2" s="1"/>
  <c r="C84" i="2" s="1"/>
  <c r="C85" i="2" s="1"/>
  <c r="C86" i="2" s="1"/>
  <c r="C87" i="2" s="1"/>
  <c r="C9" i="3" s="1"/>
  <c r="C25" i="3"/>
</calcChain>
</file>

<file path=xl/sharedStrings.xml><?xml version="1.0" encoding="utf-8"?>
<sst xmlns="http://schemas.openxmlformats.org/spreadsheetml/2006/main" count="1446" uniqueCount="155">
  <si>
    <t>Team1</t>
  </si>
  <si>
    <t>Team2</t>
  </si>
  <si>
    <t>Team3</t>
  </si>
  <si>
    <t>Team5</t>
  </si>
  <si>
    <t>Sprint0</t>
  </si>
  <si>
    <t>Sprint1</t>
  </si>
  <si>
    <t>Sprint2</t>
  </si>
  <si>
    <t>SQL Database</t>
  </si>
  <si>
    <t>N/A</t>
  </si>
  <si>
    <t>YES</t>
  </si>
  <si>
    <t>Project Plan</t>
  </si>
  <si>
    <t>Sprint0B</t>
  </si>
  <si>
    <t>CLI</t>
  </si>
  <si>
    <t>CGUI</t>
  </si>
  <si>
    <t>NO</t>
  </si>
  <si>
    <t>OTHER APP - IONIC CAPACITOR</t>
  </si>
  <si>
    <t>PARKS EPS</t>
  </si>
  <si>
    <t>BOOKING EPS</t>
  </si>
  <si>
    <t>XMAS</t>
  </si>
  <si>
    <t>VISUALIZATIONS</t>
  </si>
  <si>
    <t>AUTH</t>
  </si>
  <si>
    <t>GRADUATE FEATURES</t>
  </si>
  <si>
    <t>PARK REPORTS</t>
  </si>
  <si>
    <t>USER MANAGER</t>
  </si>
  <si>
    <t>EMPLOYEE MANAGER</t>
  </si>
  <si>
    <t>PRICING ENDPOINT MANAGER</t>
  </si>
  <si>
    <t>GLOBAL PRICING</t>
  </si>
  <si>
    <t>STATE PRICING</t>
  </si>
  <si>
    <t>PARK PRICING</t>
  </si>
  <si>
    <t>EMAIL NOTIFICATION</t>
  </si>
  <si>
    <t>STANDARD SQL EP SUPPORT</t>
  </si>
  <si>
    <t>AZURE HOSTING</t>
  </si>
  <si>
    <t>GOOGLE CLOUD HOSTING</t>
  </si>
  <si>
    <t>AZURE REPO - SOURCE</t>
  </si>
  <si>
    <t>END STATE REQUIRED FEATURES</t>
  </si>
  <si>
    <t>Feature Name</t>
  </si>
  <si>
    <t>AZURE BACKLOG</t>
  </si>
  <si>
    <t>SECURITY CENTER - 9 POINT (Notifications Sent)</t>
  </si>
  <si>
    <t>SECURITY CENTER - 8 POINT (Actions,Log,Syslog,etc)</t>
  </si>
  <si>
    <t>USER HELP</t>
  </si>
  <si>
    <t>USER PROFILE</t>
  </si>
  <si>
    <t>PARK PICTURE WALL</t>
  </si>
  <si>
    <t>DRIVING DIRECTIONS</t>
  </si>
  <si>
    <t>FEATURE NORMILIZATION CG &amp; PARKS UI</t>
  </si>
  <si>
    <t>MOBILE WEB SUPPORT CG</t>
  </si>
  <si>
    <t>MOBILE WEB SUPPORT APP.547BIKES.INFO</t>
  </si>
  <si>
    <t>CG PARK REVIEWS ADD</t>
  </si>
  <si>
    <t>CG PARK REVIEWS VIEW ALL</t>
  </si>
  <si>
    <t>CG MANAGER FEATURES</t>
  </si>
  <si>
    <t>CG CART SPINNERS ON CHANGE IN ACTION</t>
  </si>
  <si>
    <t>CG UI USER ACTIONS NORMALIZATIONS - 590 USER STORIES</t>
  </si>
  <si>
    <t>PORTED FEATURES FROM OTHER TEAMS</t>
  </si>
  <si>
    <t>AZURE SERVICE BUS</t>
  </si>
  <si>
    <t>AZURE AUTH</t>
  </si>
  <si>
    <t>AZURE AUTH REGISTRATION</t>
  </si>
  <si>
    <t>ACTIONS CONTROLLER (RUN SERVER SIDE PROCESSES)</t>
  </si>
  <si>
    <t>GLOBAL PARK REVIEW CALCULATION - SINGLE PARK</t>
  </si>
  <si>
    <t>GLOBAL PARK REVIEW CALCULATION - ALL PARKS</t>
  </si>
  <si>
    <t>590 TEAM HTML CSS TEMPLATES (FEATURES, FEATURE LAYOUTS)</t>
  </si>
  <si>
    <t>REACT MATERIAL UI TEMPLATES</t>
  </si>
  <si>
    <t>CTS GRID HOSTING</t>
  </si>
  <si>
    <t>CTS APP HOSTING (API)</t>
  </si>
  <si>
    <t>CTS APP HOSTING (WEBSITE - APACHE)</t>
  </si>
  <si>
    <t>CTS VDI DESKTOP - LINUX DEBIAN WITH GITHUB, VITE, YARN, NODEJS</t>
  </si>
  <si>
    <t>GREENVILLE PLL PROCESS LOCKING</t>
  </si>
  <si>
    <t>GREENVILLE PLL QUERY CASHING</t>
  </si>
  <si>
    <t>GREENVILLE C# ENDPOINT TEMPLATES</t>
  </si>
  <si>
    <t>VENDOR SERVICES &amp; TECHNOLOGIES IMPLEMENTED</t>
  </si>
  <si>
    <t>TWO FACTOR AUTHENTICATION</t>
  </si>
  <si>
    <t>Feature Number</t>
  </si>
  <si>
    <t>PARK SERVICE CHANGES TO SUPPORT APIS</t>
  </si>
  <si>
    <t>CART SERVICE CHANGES TO SUPPORT APIS</t>
  </si>
  <si>
    <t>THREE TIER CART(CART MASTER, CART, CART-ITEM)</t>
  </si>
  <si>
    <t>CG TO DTO SERVICE TRANSLATION</t>
  </si>
  <si>
    <t>ORIGINATOR</t>
  </si>
  <si>
    <t>CG-GLOBAL</t>
  </si>
  <si>
    <t>OTHER UI - NON CG</t>
  </si>
  <si>
    <t>OPTIONAL</t>
  </si>
  <si>
    <t>INTUITIVE</t>
  </si>
  <si>
    <t>DERIVED</t>
  </si>
  <si>
    <t>SIMPLE LOGIN OR MAPPED LOGIN PARAMETERS (IE AUTH RESULT)</t>
  </si>
  <si>
    <t>GITHUB REPO - SOURCE</t>
  </si>
  <si>
    <t>CG-LILY-S2</t>
  </si>
  <si>
    <t>Class</t>
  </si>
  <si>
    <t>Required</t>
  </si>
  <si>
    <t>Optional-Derived</t>
  </si>
  <si>
    <t>PreviousClasses</t>
  </si>
  <si>
    <t>Grad Features</t>
  </si>
  <si>
    <t>Legacy Features</t>
  </si>
  <si>
    <t>Vendor Features</t>
  </si>
  <si>
    <t>CAP GEMENI DEVELOPMENT PROCESSES AND MANAGEMENT</t>
  </si>
  <si>
    <t>CAP GEMENI - SCREEN BLOCKING</t>
  </si>
  <si>
    <t>CAP GEMENI - REACT PROJECT STRUCTURE</t>
  </si>
  <si>
    <t>12-15 EP BACKOFFICE</t>
  </si>
  <si>
    <t>5 EP BACKOFFICE</t>
  </si>
  <si>
    <t>PARK CAPACITY UPDATE</t>
  </si>
  <si>
    <t>PARK CAPACITY CHECK BEFORE PAYMENT</t>
  </si>
  <si>
    <t>PAYMENT CHECK BEFORE BOOKING</t>
  </si>
  <si>
    <t>YES*</t>
  </si>
  <si>
    <t>XMAS(21)</t>
  </si>
  <si>
    <t>BACKOFFICE TO SUPPORT SECURITY AND AUTH (20+ TABLES)</t>
  </si>
  <si>
    <t>ONE OR BOTH</t>
  </si>
  <si>
    <t>RESERVATION MANAGER</t>
  </si>
  <si>
    <t>RESERVATION CANCELLATION</t>
  </si>
  <si>
    <t>REFUNDS TO CARDS FROM RESERVATION MANAGER</t>
  </si>
  <si>
    <t>REFUND MANAGER</t>
  </si>
  <si>
    <t>TRANSACTION MANAGER</t>
  </si>
  <si>
    <t>GLOBAL RESERVATION SUPERUSER (INCLUDING DOUBLE ACCOUNTING)</t>
  </si>
  <si>
    <t>PARK CALENDAR - BY PARK BY DAY</t>
  </si>
  <si>
    <t>PARK CALENDAR - BY PARK BY TRANSACTION</t>
  </si>
  <si>
    <t>Optional-Required</t>
  </si>
  <si>
    <t>USER PROFILE CART MASTER VIEW (ALL SALES)</t>
  </si>
  <si>
    <t>CG UI TO BACKOFFICE CONNECTORIZATION, FIELD MODS, OTHER</t>
  </si>
  <si>
    <t>??</t>
  </si>
  <si>
    <t>CARD VALIDATION LAST4 SECURITY</t>
  </si>
  <si>
    <t>MANAGEMENT SCREENS -&gt; PARKS ONLY</t>
  </si>
  <si>
    <t>REVIEW MANAGER</t>
  </si>
  <si>
    <t>PAYMENT SIMULATION - TRANSACTION IDS</t>
  </si>
  <si>
    <t>PAYMENT PROCESSING - TEST MODE - STRIPE OTHER</t>
  </si>
  <si>
    <t>Optional-Recommended</t>
  </si>
  <si>
    <t>GC-CLASS-DISCUSS</t>
  </si>
  <si>
    <t>INSTRUCTOR HOST LOGIN 24X7 UI</t>
  </si>
  <si>
    <t>INSTRUCTOR API LOGIN 24X7 UI</t>
  </si>
  <si>
    <t>CLI - SEEDING</t>
  </si>
  <si>
    <t>GREENVILLE RAPID DEVELOPMENT PROCESSING</t>
  </si>
  <si>
    <t>GREENVILLE UI JSON BASICS</t>
  </si>
  <si>
    <t>CARD VALIDATION FULL - GENERAL</t>
  </si>
  <si>
    <t>CARD VALIDATION FULL - GOOGLE PAY VIA CHROME BROWSERS</t>
  </si>
  <si>
    <t>END TO END TRANSACTIONS (UI TO BACKEND)</t>
  </si>
  <si>
    <t>OPTIONAL -DERIVED FEATURES - FROM INDUSTRY STANDARDS - OR RUBRIC BASICS</t>
  </si>
  <si>
    <t>S2-N/A</t>
  </si>
  <si>
    <t>JSS-RAPID</t>
  </si>
  <si>
    <t>MULTI-PLATFORM API NORMALIZATION</t>
  </si>
  <si>
    <t>TEAMCHANGEREQ</t>
  </si>
  <si>
    <t>VENDOR-ARCH</t>
  </si>
  <si>
    <t>Derived</t>
  </si>
  <si>
    <t>Graduate</t>
  </si>
  <si>
    <t>Vendor</t>
  </si>
  <si>
    <t>Legacy</t>
  </si>
  <si>
    <t>Features</t>
  </si>
  <si>
    <t>Total Features Fall of 2025</t>
  </si>
  <si>
    <t>Count</t>
  </si>
  <si>
    <t>Bikes Park Project - Fall 2025</t>
  </si>
  <si>
    <t>Movie Project - Fall 2024</t>
  </si>
  <si>
    <t>SUPER-PARK (Support for Camping, Skiining, Tents, etc)</t>
  </si>
  <si>
    <t>Roughly 60% Less Work than this term and with 6 People</t>
  </si>
  <si>
    <t>DTOs and SemiStructured Data This Year</t>
  </si>
  <si>
    <t>Auth, and CLI were Required Last Year which consumed 2 resources</t>
  </si>
  <si>
    <t>Cart for Movies was Difficult Last Year.</t>
  </si>
  <si>
    <t>Mgmt Screens For Movie Times, and Movies, Stars</t>
  </si>
  <si>
    <t>Park Cart is Inline with Last Years Project</t>
  </si>
  <si>
    <t>Mgmt Screens 3Fold More</t>
  </si>
  <si>
    <t>Single Person and 6 Partial Resources</t>
  </si>
  <si>
    <t>547-2025</t>
  </si>
  <si>
    <t>547-2024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</si>
</sst>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" fontId="3" fillId="6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0" xfId="0" applyAlignment="1"/>
    <xf numFmtId="0" fontId="0" fillId="13" borderId="1" xfId="0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8A7B-3BD2-4B02-8253-6666C6ABD2A5}">
  <dimension ref="B2:S45"/>
  <sheetViews>
    <sheetView workbookViewId="0">
      <selection activeCell="B2" sqref="B2:S43"/>
    </sheetView>
  </sheetViews>
  <sheetFormatPr defaultRowHeight="12" x14ac:dyDescent="0.2"/>
  <cols>
    <col min="1" max="1" width="9.140625" style="5"/>
    <col min="2" max="2" width="20.140625" style="5" customWidth="1"/>
    <col min="3" max="3" width="13.7109375" style="7" bestFit="1" customWidth="1"/>
    <col min="4" max="4" width="53.5703125" style="5" bestFit="1" customWidth="1"/>
    <col min="5" max="5" width="14.85546875" style="7" bestFit="1" customWidth="1"/>
    <col min="6" max="8" width="9.140625" style="7"/>
    <col min="9" max="9" width="9.28515625" style="7" customWidth="1"/>
    <col min="10" max="18" width="9.140625" style="7"/>
    <col min="19" max="19" width="9.28515625" style="7" customWidth="1"/>
    <col min="20" max="16384" width="9.140625" style="5"/>
  </cols>
  <sheetData>
    <row r="2" spans="2:19" ht="15" customHeight="1" x14ac:dyDescent="0.2">
      <c r="B2" s="9" t="s">
        <v>34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2:19" x14ac:dyDescent="0.2">
      <c r="B3" s="17" t="s">
        <v>83</v>
      </c>
      <c r="C3" s="18" t="s">
        <v>69</v>
      </c>
      <c r="D3" s="17" t="s">
        <v>35</v>
      </c>
      <c r="E3" s="18" t="s">
        <v>74</v>
      </c>
      <c r="F3" s="18" t="s">
        <v>0</v>
      </c>
      <c r="G3" s="18" t="s">
        <v>1</v>
      </c>
      <c r="H3" s="18" t="s">
        <v>2</v>
      </c>
      <c r="I3" s="18" t="s">
        <v>3</v>
      </c>
      <c r="J3" s="18" t="s">
        <v>0</v>
      </c>
      <c r="K3" s="18" t="s">
        <v>1</v>
      </c>
      <c r="L3" s="18" t="s">
        <v>2</v>
      </c>
      <c r="M3" s="18" t="s">
        <v>3</v>
      </c>
      <c r="N3" s="18" t="s">
        <v>0</v>
      </c>
      <c r="O3" s="18" t="s">
        <v>1</v>
      </c>
      <c r="P3" s="18" t="s">
        <v>2</v>
      </c>
      <c r="Q3" s="18" t="s">
        <v>3</v>
      </c>
      <c r="R3" s="18" t="s">
        <v>3</v>
      </c>
      <c r="S3" s="18" t="s">
        <v>3</v>
      </c>
    </row>
    <row r="4" spans="2:19" x14ac:dyDescent="0.2">
      <c r="B4" s="3"/>
      <c r="C4" s="6"/>
      <c r="D4" s="3"/>
      <c r="E4" s="6"/>
      <c r="F4" s="19" t="s">
        <v>4</v>
      </c>
      <c r="G4" s="19"/>
      <c r="H4" s="19"/>
      <c r="I4" s="35" t="s">
        <v>11</v>
      </c>
      <c r="J4" s="21" t="s">
        <v>5</v>
      </c>
      <c r="K4" s="21"/>
      <c r="L4" s="21"/>
      <c r="M4" s="21"/>
      <c r="N4" s="23" t="s">
        <v>6</v>
      </c>
      <c r="O4" s="23"/>
      <c r="P4" s="23"/>
      <c r="Q4" s="23"/>
      <c r="R4" s="15">
        <v>46006</v>
      </c>
      <c r="S4" s="16" t="s">
        <v>99</v>
      </c>
    </row>
    <row r="5" spans="2:19" x14ac:dyDescent="0.2">
      <c r="B5" s="3" t="s">
        <v>84</v>
      </c>
      <c r="C5" s="6">
        <v>1</v>
      </c>
      <c r="D5" s="3" t="s">
        <v>10</v>
      </c>
      <c r="E5" s="6" t="s">
        <v>75</v>
      </c>
      <c r="F5" s="20" t="s">
        <v>9</v>
      </c>
      <c r="G5" s="20" t="s">
        <v>9</v>
      </c>
      <c r="H5" s="20" t="s">
        <v>9</v>
      </c>
      <c r="I5" s="36" t="s">
        <v>9</v>
      </c>
      <c r="J5" s="22" t="s">
        <v>9</v>
      </c>
      <c r="K5" s="22" t="s">
        <v>9</v>
      </c>
      <c r="L5" s="22" t="s">
        <v>9</v>
      </c>
      <c r="M5" s="32" t="s">
        <v>9</v>
      </c>
      <c r="N5" s="24" t="s">
        <v>9</v>
      </c>
      <c r="O5" s="24" t="s">
        <v>9</v>
      </c>
      <c r="P5" s="24" t="s">
        <v>9</v>
      </c>
      <c r="Q5" s="29" t="s">
        <v>9</v>
      </c>
      <c r="R5" s="28" t="s">
        <v>9</v>
      </c>
      <c r="S5" s="28" t="s">
        <v>9</v>
      </c>
    </row>
    <row r="6" spans="2:19" x14ac:dyDescent="0.2">
      <c r="B6" s="3" t="s">
        <v>84</v>
      </c>
      <c r="C6" s="6">
        <f>C5+1</f>
        <v>2</v>
      </c>
      <c r="D6" s="3" t="s">
        <v>36</v>
      </c>
      <c r="E6" s="6" t="s">
        <v>75</v>
      </c>
      <c r="F6" s="20" t="s">
        <v>9</v>
      </c>
      <c r="G6" s="20" t="s">
        <v>9</v>
      </c>
      <c r="H6" s="20" t="s">
        <v>9</v>
      </c>
      <c r="I6" s="36" t="s">
        <v>9</v>
      </c>
      <c r="J6" s="32" t="s">
        <v>9</v>
      </c>
      <c r="K6" s="32" t="s">
        <v>9</v>
      </c>
      <c r="L6" s="32" t="s">
        <v>9</v>
      </c>
      <c r="M6" s="32" t="s">
        <v>9</v>
      </c>
      <c r="N6" s="24" t="s">
        <v>9</v>
      </c>
      <c r="O6" s="24" t="s">
        <v>9</v>
      </c>
      <c r="P6" s="24" t="s">
        <v>9</v>
      </c>
      <c r="Q6" s="29" t="s">
        <v>9</v>
      </c>
      <c r="R6" s="28" t="s">
        <v>9</v>
      </c>
      <c r="S6" s="28" t="s">
        <v>9</v>
      </c>
    </row>
    <row r="7" spans="2:19" x14ac:dyDescent="0.2">
      <c r="B7" s="3" t="s">
        <v>84</v>
      </c>
      <c r="C7" s="6">
        <f t="shared" ref="C7:C23" si="0">C6+1</f>
        <v>3</v>
      </c>
      <c r="D7" s="3" t="s">
        <v>7</v>
      </c>
      <c r="E7" s="6" t="s">
        <v>75</v>
      </c>
      <c r="F7" s="20" t="s">
        <v>14</v>
      </c>
      <c r="G7" s="20" t="s">
        <v>9</v>
      </c>
      <c r="H7" s="20" t="s">
        <v>14</v>
      </c>
      <c r="I7" s="36" t="s">
        <v>9</v>
      </c>
      <c r="J7" s="22" t="s">
        <v>9</v>
      </c>
      <c r="K7" s="22" t="s">
        <v>9</v>
      </c>
      <c r="L7" s="22" t="s">
        <v>9</v>
      </c>
      <c r="M7" s="32" t="s">
        <v>9</v>
      </c>
      <c r="N7" s="24" t="s">
        <v>9</v>
      </c>
      <c r="O7" s="24" t="s">
        <v>9</v>
      </c>
      <c r="P7" s="24" t="s">
        <v>9</v>
      </c>
      <c r="Q7" s="29" t="s">
        <v>9</v>
      </c>
      <c r="R7" s="28" t="s">
        <v>9</v>
      </c>
      <c r="S7" s="28" t="s">
        <v>9</v>
      </c>
    </row>
    <row r="8" spans="2:19" x14ac:dyDescent="0.2">
      <c r="B8" s="3" t="s">
        <v>84</v>
      </c>
      <c r="C8" s="6">
        <f t="shared" si="0"/>
        <v>4</v>
      </c>
      <c r="D8" s="3" t="s">
        <v>16</v>
      </c>
      <c r="E8" s="6" t="s">
        <v>75</v>
      </c>
      <c r="F8" s="20" t="s">
        <v>14</v>
      </c>
      <c r="G8" s="20" t="s">
        <v>9</v>
      </c>
      <c r="H8" s="20" t="s">
        <v>14</v>
      </c>
      <c r="I8" s="36" t="s">
        <v>9</v>
      </c>
      <c r="J8" s="22" t="s">
        <v>9</v>
      </c>
      <c r="K8" s="22" t="s">
        <v>9</v>
      </c>
      <c r="L8" s="22" t="s">
        <v>9</v>
      </c>
      <c r="M8" s="32" t="s">
        <v>9</v>
      </c>
      <c r="N8" s="24" t="s">
        <v>9</v>
      </c>
      <c r="O8" s="24" t="s">
        <v>9</v>
      </c>
      <c r="P8" s="24" t="s">
        <v>9</v>
      </c>
      <c r="Q8" s="29" t="s">
        <v>9</v>
      </c>
      <c r="R8" s="28" t="s">
        <v>9</v>
      </c>
      <c r="S8" s="28" t="s">
        <v>9</v>
      </c>
    </row>
    <row r="9" spans="2:19" x14ac:dyDescent="0.2">
      <c r="B9" s="3" t="s">
        <v>84</v>
      </c>
      <c r="C9" s="6">
        <f t="shared" si="0"/>
        <v>5</v>
      </c>
      <c r="D9" s="3" t="s">
        <v>94</v>
      </c>
      <c r="E9" s="6" t="s">
        <v>75</v>
      </c>
      <c r="F9" s="20" t="s">
        <v>14</v>
      </c>
      <c r="G9" s="20" t="s">
        <v>9</v>
      </c>
      <c r="H9" s="20" t="s">
        <v>14</v>
      </c>
      <c r="I9" s="36" t="s">
        <v>9</v>
      </c>
      <c r="J9" s="22" t="s">
        <v>9</v>
      </c>
      <c r="K9" s="22" t="s">
        <v>9</v>
      </c>
      <c r="L9" s="22" t="s">
        <v>9</v>
      </c>
      <c r="M9" s="32" t="s">
        <v>9</v>
      </c>
      <c r="N9" s="24" t="s">
        <v>9</v>
      </c>
      <c r="O9" s="24" t="s">
        <v>9</v>
      </c>
      <c r="P9" s="24" t="s">
        <v>9</v>
      </c>
      <c r="Q9" s="29" t="s">
        <v>9</v>
      </c>
      <c r="R9" s="28" t="s">
        <v>9</v>
      </c>
      <c r="S9" s="28" t="s">
        <v>9</v>
      </c>
    </row>
    <row r="10" spans="2:19" x14ac:dyDescent="0.2">
      <c r="B10" s="3" t="s">
        <v>84</v>
      </c>
      <c r="C10" s="6">
        <f t="shared" si="0"/>
        <v>6</v>
      </c>
      <c r="D10" s="3" t="s">
        <v>115</v>
      </c>
      <c r="E10" s="6" t="s">
        <v>75</v>
      </c>
      <c r="F10" s="20" t="s">
        <v>14</v>
      </c>
      <c r="G10" s="20" t="s">
        <v>9</v>
      </c>
      <c r="H10" s="20" t="s">
        <v>14</v>
      </c>
      <c r="I10" s="36" t="s">
        <v>9</v>
      </c>
      <c r="J10" s="31" t="s">
        <v>14</v>
      </c>
      <c r="K10" s="31" t="s">
        <v>14</v>
      </c>
      <c r="L10" s="31" t="s">
        <v>14</v>
      </c>
      <c r="M10" s="32" t="s">
        <v>9</v>
      </c>
      <c r="N10" s="25" t="s">
        <v>113</v>
      </c>
      <c r="O10" s="25" t="s">
        <v>113</v>
      </c>
      <c r="P10" s="25" t="s">
        <v>113</v>
      </c>
      <c r="Q10" s="29" t="s">
        <v>9</v>
      </c>
      <c r="R10" s="28" t="s">
        <v>9</v>
      </c>
      <c r="S10" s="28" t="s">
        <v>9</v>
      </c>
    </row>
    <row r="11" spans="2:19" x14ac:dyDescent="0.2">
      <c r="B11" s="3" t="s">
        <v>84</v>
      </c>
      <c r="C11" s="6">
        <f t="shared" si="0"/>
        <v>7</v>
      </c>
      <c r="D11" s="3" t="s">
        <v>93</v>
      </c>
      <c r="E11" s="6" t="s">
        <v>75</v>
      </c>
      <c r="F11" s="20" t="s">
        <v>14</v>
      </c>
      <c r="G11" s="20" t="s">
        <v>9</v>
      </c>
      <c r="H11" s="20" t="s">
        <v>14</v>
      </c>
      <c r="I11" s="36" t="s">
        <v>9</v>
      </c>
      <c r="J11" s="31" t="s">
        <v>14</v>
      </c>
      <c r="K11" s="31" t="s">
        <v>14</v>
      </c>
      <c r="L11" s="31" t="s">
        <v>14</v>
      </c>
      <c r="M11" s="32" t="s">
        <v>9</v>
      </c>
      <c r="N11" s="24" t="s">
        <v>9</v>
      </c>
      <c r="O11" s="24" t="s">
        <v>9</v>
      </c>
      <c r="P11" s="24" t="s">
        <v>9</v>
      </c>
      <c r="Q11" s="29" t="s">
        <v>9</v>
      </c>
      <c r="R11" s="28" t="s">
        <v>9</v>
      </c>
      <c r="S11" s="28" t="s">
        <v>9</v>
      </c>
    </row>
    <row r="12" spans="2:19" x14ac:dyDescent="0.2">
      <c r="B12" s="3" t="s">
        <v>84</v>
      </c>
      <c r="C12" s="6">
        <f t="shared" si="0"/>
        <v>8</v>
      </c>
      <c r="D12" s="3" t="s">
        <v>17</v>
      </c>
      <c r="E12" s="6" t="s">
        <v>75</v>
      </c>
      <c r="F12" s="20" t="s">
        <v>14</v>
      </c>
      <c r="G12" s="20" t="s">
        <v>14</v>
      </c>
      <c r="H12" s="20" t="s">
        <v>14</v>
      </c>
      <c r="I12" s="36" t="s">
        <v>9</v>
      </c>
      <c r="J12" s="22" t="s">
        <v>9</v>
      </c>
      <c r="K12" s="22" t="s">
        <v>9</v>
      </c>
      <c r="L12" s="22" t="s">
        <v>9</v>
      </c>
      <c r="M12" s="32" t="s">
        <v>9</v>
      </c>
      <c r="N12" s="24" t="s">
        <v>9</v>
      </c>
      <c r="O12" s="24" t="s">
        <v>9</v>
      </c>
      <c r="P12" s="24" t="s">
        <v>9</v>
      </c>
      <c r="Q12" s="29" t="s">
        <v>9</v>
      </c>
      <c r="R12" s="28" t="s">
        <v>9</v>
      </c>
      <c r="S12" s="28" t="s">
        <v>9</v>
      </c>
    </row>
    <row r="13" spans="2:19" x14ac:dyDescent="0.2">
      <c r="B13" s="3" t="s">
        <v>84</v>
      </c>
      <c r="C13" s="6">
        <f t="shared" si="0"/>
        <v>9</v>
      </c>
      <c r="D13" s="3" t="s">
        <v>114</v>
      </c>
      <c r="E13" s="6" t="s">
        <v>75</v>
      </c>
      <c r="F13" s="20" t="s">
        <v>14</v>
      </c>
      <c r="G13" s="20" t="s">
        <v>14</v>
      </c>
      <c r="H13" s="20" t="s">
        <v>14</v>
      </c>
      <c r="I13" s="36" t="s">
        <v>9</v>
      </c>
      <c r="J13" s="31" t="s">
        <v>14</v>
      </c>
      <c r="K13" s="31" t="s">
        <v>14</v>
      </c>
      <c r="L13" s="31" t="s">
        <v>14</v>
      </c>
      <c r="M13" s="32" t="s">
        <v>9</v>
      </c>
      <c r="N13" s="25" t="s">
        <v>14</v>
      </c>
      <c r="O13" s="25" t="s">
        <v>14</v>
      </c>
      <c r="P13" s="25" t="s">
        <v>14</v>
      </c>
      <c r="Q13" s="29" t="s">
        <v>9</v>
      </c>
      <c r="R13" s="28" t="s">
        <v>9</v>
      </c>
      <c r="S13" s="28" t="s">
        <v>9</v>
      </c>
    </row>
    <row r="14" spans="2:19" x14ac:dyDescent="0.2">
      <c r="B14" s="3" t="s">
        <v>84</v>
      </c>
      <c r="C14" s="6">
        <f t="shared" si="0"/>
        <v>10</v>
      </c>
      <c r="D14" s="3" t="s">
        <v>103</v>
      </c>
      <c r="E14" s="6" t="s">
        <v>75</v>
      </c>
      <c r="F14" s="20" t="s">
        <v>14</v>
      </c>
      <c r="G14" s="20" t="s">
        <v>14</v>
      </c>
      <c r="H14" s="20" t="s">
        <v>14</v>
      </c>
      <c r="I14" s="36" t="s">
        <v>9</v>
      </c>
      <c r="J14" s="31" t="s">
        <v>14</v>
      </c>
      <c r="K14" s="31" t="s">
        <v>14</v>
      </c>
      <c r="L14" s="31" t="s">
        <v>14</v>
      </c>
      <c r="M14" s="32" t="s">
        <v>9</v>
      </c>
      <c r="N14" s="25" t="s">
        <v>113</v>
      </c>
      <c r="O14" s="25" t="s">
        <v>113</v>
      </c>
      <c r="P14" s="25" t="s">
        <v>113</v>
      </c>
      <c r="Q14" s="29" t="s">
        <v>9</v>
      </c>
      <c r="R14" s="28" t="s">
        <v>9</v>
      </c>
      <c r="S14" s="28" t="s">
        <v>9</v>
      </c>
    </row>
    <row r="15" spans="2:19" x14ac:dyDescent="0.2">
      <c r="B15" s="3" t="s">
        <v>84</v>
      </c>
      <c r="C15" s="6">
        <f t="shared" si="0"/>
        <v>11</v>
      </c>
      <c r="D15" s="3" t="s">
        <v>128</v>
      </c>
      <c r="E15" s="6" t="s">
        <v>82</v>
      </c>
      <c r="F15" s="20" t="s">
        <v>14</v>
      </c>
      <c r="G15" s="20" t="s">
        <v>14</v>
      </c>
      <c r="H15" s="20" t="s">
        <v>14</v>
      </c>
      <c r="I15" s="36" t="s">
        <v>9</v>
      </c>
      <c r="J15" s="31" t="s">
        <v>14</v>
      </c>
      <c r="K15" s="31" t="s">
        <v>14</v>
      </c>
      <c r="L15" s="31" t="s">
        <v>14</v>
      </c>
      <c r="M15" s="32" t="s">
        <v>9</v>
      </c>
      <c r="N15" s="24" t="s">
        <v>9</v>
      </c>
      <c r="O15" s="24" t="s">
        <v>9</v>
      </c>
      <c r="P15" s="24" t="s">
        <v>9</v>
      </c>
      <c r="Q15" s="29" t="s">
        <v>9</v>
      </c>
      <c r="R15" s="28" t="s">
        <v>9</v>
      </c>
      <c r="S15" s="28" t="s">
        <v>9</v>
      </c>
    </row>
    <row r="16" spans="2:19" x14ac:dyDescent="0.2">
      <c r="B16" s="3" t="s">
        <v>84</v>
      </c>
      <c r="C16" s="6">
        <f t="shared" si="0"/>
        <v>12</v>
      </c>
      <c r="D16" s="3" t="s">
        <v>95</v>
      </c>
      <c r="E16" s="6" t="s">
        <v>75</v>
      </c>
      <c r="F16" s="20" t="s">
        <v>113</v>
      </c>
      <c r="G16" s="20" t="s">
        <v>9</v>
      </c>
      <c r="H16" s="20" t="s">
        <v>14</v>
      </c>
      <c r="I16" s="35" t="s">
        <v>8</v>
      </c>
      <c r="J16" s="32" t="s">
        <v>9</v>
      </c>
      <c r="K16" s="32" t="s">
        <v>9</v>
      </c>
      <c r="L16" s="32" t="s">
        <v>9</v>
      </c>
      <c r="M16" s="32" t="s">
        <v>9</v>
      </c>
      <c r="N16" s="25" t="s">
        <v>113</v>
      </c>
      <c r="O16" s="25" t="s">
        <v>113</v>
      </c>
      <c r="P16" s="25" t="s">
        <v>113</v>
      </c>
      <c r="Q16" s="29" t="s">
        <v>9</v>
      </c>
      <c r="R16" s="28" t="s">
        <v>9</v>
      </c>
      <c r="S16" s="28" t="s">
        <v>9</v>
      </c>
    </row>
    <row r="17" spans="2:19" x14ac:dyDescent="0.2">
      <c r="B17" s="3" t="s">
        <v>84</v>
      </c>
      <c r="C17" s="6">
        <f t="shared" si="0"/>
        <v>13</v>
      </c>
      <c r="D17" s="3" t="s">
        <v>13</v>
      </c>
      <c r="E17" s="6" t="s">
        <v>82</v>
      </c>
      <c r="F17" s="20" t="s">
        <v>130</v>
      </c>
      <c r="G17" s="20" t="s">
        <v>130</v>
      </c>
      <c r="H17" s="20" t="s">
        <v>130</v>
      </c>
      <c r="I17" s="35" t="s">
        <v>130</v>
      </c>
      <c r="J17" s="34" t="s">
        <v>130</v>
      </c>
      <c r="K17" s="34" t="s">
        <v>130</v>
      </c>
      <c r="L17" s="34" t="s">
        <v>130</v>
      </c>
      <c r="M17" s="34" t="s">
        <v>130</v>
      </c>
      <c r="N17" s="24" t="s">
        <v>9</v>
      </c>
      <c r="O17" s="24" t="s">
        <v>9</v>
      </c>
      <c r="P17" s="24" t="s">
        <v>9</v>
      </c>
      <c r="Q17" s="29" t="s">
        <v>9</v>
      </c>
      <c r="R17" s="28" t="s">
        <v>9</v>
      </c>
      <c r="S17" s="28" t="s">
        <v>9</v>
      </c>
    </row>
    <row r="18" spans="2:19" x14ac:dyDescent="0.2">
      <c r="B18" s="3" t="s">
        <v>84</v>
      </c>
      <c r="C18" s="6">
        <f t="shared" si="0"/>
        <v>14</v>
      </c>
      <c r="D18" s="3" t="s">
        <v>112</v>
      </c>
      <c r="E18" s="6" t="s">
        <v>75</v>
      </c>
      <c r="F18" s="20" t="s">
        <v>130</v>
      </c>
      <c r="G18" s="20" t="s">
        <v>130</v>
      </c>
      <c r="H18" s="20" t="s">
        <v>130</v>
      </c>
      <c r="I18" s="35" t="s">
        <v>130</v>
      </c>
      <c r="J18" s="34" t="s">
        <v>130</v>
      </c>
      <c r="K18" s="34" t="s">
        <v>130</v>
      </c>
      <c r="L18" s="34" t="s">
        <v>130</v>
      </c>
      <c r="M18" s="34" t="s">
        <v>130</v>
      </c>
      <c r="N18" s="24" t="s">
        <v>9</v>
      </c>
      <c r="O18" s="24" t="s">
        <v>9</v>
      </c>
      <c r="P18" s="24" t="s">
        <v>9</v>
      </c>
      <c r="Q18" s="29" t="s">
        <v>9</v>
      </c>
      <c r="R18" s="28" t="s">
        <v>9</v>
      </c>
      <c r="S18" s="28" t="s">
        <v>9</v>
      </c>
    </row>
    <row r="19" spans="2:19" x14ac:dyDescent="0.2">
      <c r="B19" s="3" t="s">
        <v>84</v>
      </c>
      <c r="C19" s="6">
        <f t="shared" si="0"/>
        <v>15</v>
      </c>
      <c r="D19" s="3" t="s">
        <v>127</v>
      </c>
      <c r="E19" s="6" t="s">
        <v>75</v>
      </c>
      <c r="F19" s="20" t="s">
        <v>130</v>
      </c>
      <c r="G19" s="20" t="s">
        <v>130</v>
      </c>
      <c r="H19" s="20" t="s">
        <v>130</v>
      </c>
      <c r="I19" s="35" t="s">
        <v>130</v>
      </c>
      <c r="J19" s="34" t="s">
        <v>130</v>
      </c>
      <c r="K19" s="34" t="s">
        <v>130</v>
      </c>
      <c r="L19" s="34" t="s">
        <v>130</v>
      </c>
      <c r="M19" s="34" t="s">
        <v>130</v>
      </c>
      <c r="N19" s="25" t="s">
        <v>113</v>
      </c>
      <c r="O19" s="25" t="s">
        <v>113</v>
      </c>
      <c r="P19" s="25" t="s">
        <v>113</v>
      </c>
      <c r="Q19" s="29" t="s">
        <v>9</v>
      </c>
      <c r="R19" s="30" t="s">
        <v>9</v>
      </c>
      <c r="S19" s="28" t="s">
        <v>9</v>
      </c>
    </row>
    <row r="20" spans="2:19" x14ac:dyDescent="0.2">
      <c r="B20" s="3" t="s">
        <v>84</v>
      </c>
      <c r="C20" s="6">
        <f t="shared" si="0"/>
        <v>16</v>
      </c>
      <c r="D20" s="3" t="s">
        <v>71</v>
      </c>
      <c r="E20" s="6" t="s">
        <v>82</v>
      </c>
      <c r="F20" s="20" t="s">
        <v>130</v>
      </c>
      <c r="G20" s="20" t="s">
        <v>130</v>
      </c>
      <c r="H20" s="20" t="s">
        <v>130</v>
      </c>
      <c r="I20" s="35" t="s">
        <v>130</v>
      </c>
      <c r="J20" s="34" t="s">
        <v>130</v>
      </c>
      <c r="K20" s="34" t="s">
        <v>130</v>
      </c>
      <c r="L20" s="34" t="s">
        <v>130</v>
      </c>
      <c r="M20" s="34" t="s">
        <v>130</v>
      </c>
      <c r="N20" s="24" t="s">
        <v>9</v>
      </c>
      <c r="O20" s="24" t="s">
        <v>9</v>
      </c>
      <c r="P20" s="24" t="s">
        <v>9</v>
      </c>
      <c r="Q20" s="29" t="s">
        <v>9</v>
      </c>
      <c r="R20" s="28" t="s">
        <v>9</v>
      </c>
      <c r="S20" s="28" t="s">
        <v>9</v>
      </c>
    </row>
    <row r="21" spans="2:19" x14ac:dyDescent="0.2">
      <c r="B21" s="3" t="s">
        <v>84</v>
      </c>
      <c r="C21" s="6">
        <f t="shared" si="0"/>
        <v>17</v>
      </c>
      <c r="D21" s="3" t="s">
        <v>70</v>
      </c>
      <c r="E21" s="6" t="s">
        <v>82</v>
      </c>
      <c r="F21" s="20" t="s">
        <v>130</v>
      </c>
      <c r="G21" s="20" t="s">
        <v>130</v>
      </c>
      <c r="H21" s="20" t="s">
        <v>130</v>
      </c>
      <c r="I21" s="35" t="s">
        <v>130</v>
      </c>
      <c r="J21" s="34" t="s">
        <v>130</v>
      </c>
      <c r="K21" s="34" t="s">
        <v>130</v>
      </c>
      <c r="L21" s="34" t="s">
        <v>130</v>
      </c>
      <c r="M21" s="34" t="s">
        <v>130</v>
      </c>
      <c r="N21" s="24" t="s">
        <v>9</v>
      </c>
      <c r="O21" s="24" t="s">
        <v>9</v>
      </c>
      <c r="P21" s="24" t="s">
        <v>9</v>
      </c>
      <c r="Q21" s="29" t="s">
        <v>9</v>
      </c>
      <c r="R21" s="28" t="s">
        <v>9</v>
      </c>
      <c r="S21" s="28" t="s">
        <v>9</v>
      </c>
    </row>
    <row r="22" spans="2:19" x14ac:dyDescent="0.2">
      <c r="B22" s="3" t="s">
        <v>84</v>
      </c>
      <c r="C22" s="6">
        <f t="shared" si="0"/>
        <v>18</v>
      </c>
      <c r="D22" s="3" t="s">
        <v>73</v>
      </c>
      <c r="E22" s="6" t="s">
        <v>82</v>
      </c>
      <c r="F22" s="20" t="s">
        <v>130</v>
      </c>
      <c r="G22" s="20" t="s">
        <v>130</v>
      </c>
      <c r="H22" s="20" t="s">
        <v>130</v>
      </c>
      <c r="I22" s="35" t="s">
        <v>130</v>
      </c>
      <c r="J22" s="34" t="s">
        <v>130</v>
      </c>
      <c r="K22" s="34" t="s">
        <v>130</v>
      </c>
      <c r="L22" s="34" t="s">
        <v>130</v>
      </c>
      <c r="M22" s="34" t="s">
        <v>130</v>
      </c>
      <c r="N22" s="24" t="s">
        <v>9</v>
      </c>
      <c r="O22" s="24" t="s">
        <v>9</v>
      </c>
      <c r="P22" s="24" t="s">
        <v>9</v>
      </c>
      <c r="Q22" s="29" t="s">
        <v>9</v>
      </c>
      <c r="R22" s="28" t="s">
        <v>9</v>
      </c>
      <c r="S22" s="28" t="s">
        <v>9</v>
      </c>
    </row>
    <row r="23" spans="2:19" x14ac:dyDescent="0.2">
      <c r="B23" s="3" t="s">
        <v>84</v>
      </c>
      <c r="C23" s="6">
        <f t="shared" si="0"/>
        <v>19</v>
      </c>
      <c r="D23" s="3" t="s">
        <v>126</v>
      </c>
      <c r="E23" s="6" t="s">
        <v>75</v>
      </c>
      <c r="F23" s="20" t="s">
        <v>130</v>
      </c>
      <c r="G23" s="20" t="s">
        <v>130</v>
      </c>
      <c r="H23" s="20" t="s">
        <v>130</v>
      </c>
      <c r="I23" s="35" t="s">
        <v>130</v>
      </c>
      <c r="J23" s="34" t="s">
        <v>130</v>
      </c>
      <c r="K23" s="34" t="s">
        <v>130</v>
      </c>
      <c r="L23" s="34" t="s">
        <v>130</v>
      </c>
      <c r="M23" s="34" t="s">
        <v>130</v>
      </c>
      <c r="N23" s="24" t="s">
        <v>9</v>
      </c>
      <c r="O23" s="24" t="s">
        <v>9</v>
      </c>
      <c r="P23" s="24" t="s">
        <v>9</v>
      </c>
      <c r="Q23" s="25" t="s">
        <v>14</v>
      </c>
      <c r="R23" s="26" t="s">
        <v>14</v>
      </c>
      <c r="S23" s="28" t="s">
        <v>9</v>
      </c>
    </row>
    <row r="24" spans="2:19" ht="15" customHeight="1" x14ac:dyDescent="0.2">
      <c r="B24" s="14" t="s">
        <v>129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2:19" x14ac:dyDescent="0.2">
      <c r="B25" s="17" t="s">
        <v>83</v>
      </c>
      <c r="C25" s="18" t="s">
        <v>69</v>
      </c>
      <c r="D25" s="17" t="s">
        <v>35</v>
      </c>
      <c r="E25" s="18" t="s">
        <v>74</v>
      </c>
      <c r="F25" s="18" t="s">
        <v>0</v>
      </c>
      <c r="G25" s="18" t="s">
        <v>1</v>
      </c>
      <c r="H25" s="18" t="s">
        <v>2</v>
      </c>
      <c r="I25" s="18" t="s">
        <v>3</v>
      </c>
      <c r="J25" s="18" t="s">
        <v>0</v>
      </c>
      <c r="K25" s="18" t="s">
        <v>1</v>
      </c>
      <c r="L25" s="18" t="s">
        <v>2</v>
      </c>
      <c r="M25" s="18" t="s">
        <v>3</v>
      </c>
      <c r="N25" s="18" t="s">
        <v>0</v>
      </c>
      <c r="O25" s="18" t="s">
        <v>1</v>
      </c>
      <c r="P25" s="18" t="s">
        <v>2</v>
      </c>
      <c r="Q25" s="18" t="s">
        <v>3</v>
      </c>
      <c r="R25" s="18" t="s">
        <v>3</v>
      </c>
      <c r="S25" s="18" t="s">
        <v>3</v>
      </c>
    </row>
    <row r="26" spans="2:19" x14ac:dyDescent="0.2">
      <c r="B26" s="3" t="s">
        <v>85</v>
      </c>
      <c r="C26" s="6">
        <v>1</v>
      </c>
      <c r="D26" s="3" t="s">
        <v>81</v>
      </c>
      <c r="E26" s="6" t="s">
        <v>101</v>
      </c>
      <c r="F26" s="37" t="s">
        <v>9</v>
      </c>
      <c r="G26" s="37" t="s">
        <v>9</v>
      </c>
      <c r="H26" s="37" t="s">
        <v>9</v>
      </c>
      <c r="I26" s="36" t="s">
        <v>9</v>
      </c>
      <c r="J26" s="22" t="s">
        <v>9</v>
      </c>
      <c r="K26" s="22" t="s">
        <v>9</v>
      </c>
      <c r="L26" s="22" t="s">
        <v>9</v>
      </c>
      <c r="M26" s="22" t="s">
        <v>9</v>
      </c>
      <c r="N26" s="24" t="s">
        <v>9</v>
      </c>
      <c r="O26" s="24" t="s">
        <v>9</v>
      </c>
      <c r="P26" s="24" t="s">
        <v>9</v>
      </c>
      <c r="Q26" s="24" t="s">
        <v>9</v>
      </c>
      <c r="R26" s="6" t="s">
        <v>9</v>
      </c>
      <c r="S26" s="28" t="s">
        <v>9</v>
      </c>
    </row>
    <row r="27" spans="2:19" x14ac:dyDescent="0.2">
      <c r="B27" s="3" t="s">
        <v>85</v>
      </c>
      <c r="C27" s="6">
        <f>C26+1</f>
        <v>2</v>
      </c>
      <c r="D27" s="3" t="s">
        <v>33</v>
      </c>
      <c r="E27" s="6" t="s">
        <v>101</v>
      </c>
      <c r="F27" s="37" t="s">
        <v>9</v>
      </c>
      <c r="G27" s="37" t="s">
        <v>9</v>
      </c>
      <c r="H27" s="37" t="s">
        <v>9</v>
      </c>
      <c r="I27" s="36" t="s">
        <v>9</v>
      </c>
      <c r="J27" s="22" t="s">
        <v>9</v>
      </c>
      <c r="K27" s="22" t="s">
        <v>9</v>
      </c>
      <c r="L27" s="22" t="s">
        <v>9</v>
      </c>
      <c r="M27" s="22" t="s">
        <v>9</v>
      </c>
      <c r="N27" s="24" t="s">
        <v>9</v>
      </c>
      <c r="O27" s="24" t="s">
        <v>9</v>
      </c>
      <c r="P27" s="24" t="s">
        <v>9</v>
      </c>
      <c r="Q27" s="24" t="s">
        <v>9</v>
      </c>
      <c r="R27" s="6" t="s">
        <v>9</v>
      </c>
      <c r="S27" s="28" t="s">
        <v>9</v>
      </c>
    </row>
    <row r="28" spans="2:19" x14ac:dyDescent="0.2">
      <c r="B28" s="3" t="s">
        <v>119</v>
      </c>
      <c r="C28" s="6">
        <f t="shared" ref="C28:C43" si="1">C27+1</f>
        <v>3</v>
      </c>
      <c r="D28" s="3" t="s">
        <v>117</v>
      </c>
      <c r="E28" s="6" t="s">
        <v>120</v>
      </c>
      <c r="F28" s="20" t="s">
        <v>130</v>
      </c>
      <c r="G28" s="20" t="s">
        <v>130</v>
      </c>
      <c r="H28" s="20" t="s">
        <v>130</v>
      </c>
      <c r="I28" s="35" t="s">
        <v>9</v>
      </c>
      <c r="J28" s="22" t="s">
        <v>9</v>
      </c>
      <c r="K28" s="22" t="s">
        <v>9</v>
      </c>
      <c r="L28" s="22" t="s">
        <v>9</v>
      </c>
      <c r="M28" s="22" t="s">
        <v>9</v>
      </c>
      <c r="N28" s="24" t="s">
        <v>9</v>
      </c>
      <c r="O28" s="24" t="s">
        <v>9</v>
      </c>
      <c r="P28" s="24" t="s">
        <v>9</v>
      </c>
      <c r="Q28" s="24" t="s">
        <v>9</v>
      </c>
      <c r="R28" s="6" t="s">
        <v>9</v>
      </c>
      <c r="S28" s="28" t="s">
        <v>9</v>
      </c>
    </row>
    <row r="29" spans="2:19" x14ac:dyDescent="0.2">
      <c r="B29" s="3" t="s">
        <v>85</v>
      </c>
      <c r="C29" s="6">
        <f t="shared" si="1"/>
        <v>4</v>
      </c>
      <c r="D29" s="3" t="s">
        <v>97</v>
      </c>
      <c r="E29" s="6" t="s">
        <v>79</v>
      </c>
      <c r="F29" s="20" t="s">
        <v>130</v>
      </c>
      <c r="G29" s="20" t="s">
        <v>130</v>
      </c>
      <c r="H29" s="20" t="s">
        <v>130</v>
      </c>
      <c r="I29" s="35" t="s">
        <v>9</v>
      </c>
      <c r="J29" s="22" t="s">
        <v>8</v>
      </c>
      <c r="K29" s="22" t="s">
        <v>8</v>
      </c>
      <c r="L29" s="22" t="s">
        <v>8</v>
      </c>
      <c r="M29" s="22" t="s">
        <v>8</v>
      </c>
      <c r="N29" s="24" t="s">
        <v>14</v>
      </c>
      <c r="O29" s="24" t="s">
        <v>9</v>
      </c>
      <c r="P29" s="24" t="s">
        <v>14</v>
      </c>
      <c r="Q29" s="24" t="s">
        <v>9</v>
      </c>
      <c r="R29" s="6" t="s">
        <v>9</v>
      </c>
      <c r="S29" s="28" t="s">
        <v>9</v>
      </c>
    </row>
    <row r="30" spans="2:19" x14ac:dyDescent="0.2">
      <c r="B30" s="3" t="s">
        <v>85</v>
      </c>
      <c r="C30" s="6">
        <f t="shared" si="1"/>
        <v>5</v>
      </c>
      <c r="D30" s="3" t="s">
        <v>100</v>
      </c>
      <c r="E30" s="6" t="s">
        <v>79</v>
      </c>
      <c r="F30" s="20" t="s">
        <v>130</v>
      </c>
      <c r="G30" s="20" t="s">
        <v>130</v>
      </c>
      <c r="H30" s="20" t="s">
        <v>130</v>
      </c>
      <c r="I30" s="35" t="s">
        <v>9</v>
      </c>
      <c r="J30" s="22" t="s">
        <v>14</v>
      </c>
      <c r="K30" s="22" t="s">
        <v>14</v>
      </c>
      <c r="L30" s="22" t="s">
        <v>14</v>
      </c>
      <c r="M30" s="22" t="s">
        <v>9</v>
      </c>
      <c r="N30" s="24" t="s">
        <v>14</v>
      </c>
      <c r="O30" s="24" t="s">
        <v>14</v>
      </c>
      <c r="P30" s="24" t="s">
        <v>14</v>
      </c>
      <c r="Q30" s="24" t="s">
        <v>9</v>
      </c>
      <c r="R30" s="6" t="s">
        <v>9</v>
      </c>
      <c r="S30" s="28" t="s">
        <v>9</v>
      </c>
    </row>
    <row r="31" spans="2:19" x14ac:dyDescent="0.2">
      <c r="B31" s="3" t="s">
        <v>85</v>
      </c>
      <c r="C31" s="6">
        <f t="shared" si="1"/>
        <v>6</v>
      </c>
      <c r="D31" s="3" t="s">
        <v>80</v>
      </c>
      <c r="E31" s="6" t="s">
        <v>79</v>
      </c>
      <c r="F31" s="20" t="s">
        <v>130</v>
      </c>
      <c r="G31" s="20" t="s">
        <v>130</v>
      </c>
      <c r="H31" s="20" t="s">
        <v>130</v>
      </c>
      <c r="I31" s="35" t="s">
        <v>9</v>
      </c>
      <c r="J31" s="22" t="s">
        <v>8</v>
      </c>
      <c r="K31" s="22" t="s">
        <v>8</v>
      </c>
      <c r="L31" s="22" t="s">
        <v>8</v>
      </c>
      <c r="M31" s="22" t="s">
        <v>9</v>
      </c>
      <c r="N31" s="24" t="s">
        <v>14</v>
      </c>
      <c r="O31" s="24" t="s">
        <v>9</v>
      </c>
      <c r="P31" s="24" t="s">
        <v>14</v>
      </c>
      <c r="Q31" s="24" t="s">
        <v>9</v>
      </c>
      <c r="R31" s="6" t="s">
        <v>9</v>
      </c>
      <c r="S31" s="28" t="s">
        <v>9</v>
      </c>
    </row>
    <row r="32" spans="2:19" x14ac:dyDescent="0.2">
      <c r="B32" s="3" t="s">
        <v>110</v>
      </c>
      <c r="C32" s="6">
        <f t="shared" si="1"/>
        <v>7</v>
      </c>
      <c r="D32" s="3" t="s">
        <v>116</v>
      </c>
      <c r="E32" s="6" t="s">
        <v>77</v>
      </c>
      <c r="F32" s="20" t="s">
        <v>130</v>
      </c>
      <c r="G32" s="20" t="s">
        <v>130</v>
      </c>
      <c r="H32" s="20" t="s">
        <v>130</v>
      </c>
      <c r="I32" s="35" t="s">
        <v>9</v>
      </c>
      <c r="J32" s="22" t="s">
        <v>8</v>
      </c>
      <c r="K32" s="22" t="s">
        <v>8</v>
      </c>
      <c r="L32" s="22" t="s">
        <v>8</v>
      </c>
      <c r="M32" s="22" t="s">
        <v>9</v>
      </c>
      <c r="N32" s="24" t="s">
        <v>14</v>
      </c>
      <c r="O32" s="24" t="s">
        <v>14</v>
      </c>
      <c r="P32" s="24" t="s">
        <v>14</v>
      </c>
      <c r="Q32" s="24" t="s">
        <v>9</v>
      </c>
      <c r="R32" s="6" t="s">
        <v>9</v>
      </c>
      <c r="S32" s="28" t="s">
        <v>9</v>
      </c>
    </row>
    <row r="33" spans="2:19" x14ac:dyDescent="0.2">
      <c r="B33" s="3" t="s">
        <v>110</v>
      </c>
      <c r="C33" s="6">
        <f t="shared" si="1"/>
        <v>8</v>
      </c>
      <c r="D33" s="3" t="s">
        <v>102</v>
      </c>
      <c r="E33" s="6" t="s">
        <v>77</v>
      </c>
      <c r="F33" s="20" t="s">
        <v>130</v>
      </c>
      <c r="G33" s="20" t="s">
        <v>130</v>
      </c>
      <c r="H33" s="20" t="s">
        <v>130</v>
      </c>
      <c r="I33" s="35" t="s">
        <v>9</v>
      </c>
      <c r="J33" s="22" t="s">
        <v>8</v>
      </c>
      <c r="K33" s="22" t="s">
        <v>8</v>
      </c>
      <c r="L33" s="22" t="s">
        <v>8</v>
      </c>
      <c r="M33" s="22" t="s">
        <v>9</v>
      </c>
      <c r="N33" s="24" t="s">
        <v>14</v>
      </c>
      <c r="O33" s="24" t="s">
        <v>14</v>
      </c>
      <c r="P33" s="24" t="s">
        <v>14</v>
      </c>
      <c r="Q33" s="24" t="s">
        <v>9</v>
      </c>
      <c r="R33" s="6" t="s">
        <v>9</v>
      </c>
      <c r="S33" s="28" t="s">
        <v>9</v>
      </c>
    </row>
    <row r="34" spans="2:19" x14ac:dyDescent="0.2">
      <c r="B34" s="3" t="s">
        <v>86</v>
      </c>
      <c r="C34" s="6">
        <f t="shared" si="1"/>
        <v>9</v>
      </c>
      <c r="D34" s="3" t="s">
        <v>76</v>
      </c>
      <c r="E34" s="6" t="s">
        <v>77</v>
      </c>
      <c r="F34" s="20" t="s">
        <v>130</v>
      </c>
      <c r="G34" s="20" t="s">
        <v>130</v>
      </c>
      <c r="H34" s="20" t="s">
        <v>130</v>
      </c>
      <c r="I34" s="35" t="s">
        <v>9</v>
      </c>
      <c r="J34" s="22" t="s">
        <v>8</v>
      </c>
      <c r="K34" s="22" t="s">
        <v>8</v>
      </c>
      <c r="L34" s="22" t="s">
        <v>8</v>
      </c>
      <c r="M34" s="22" t="s">
        <v>9</v>
      </c>
      <c r="N34" s="24" t="s">
        <v>14</v>
      </c>
      <c r="O34" s="24" t="s">
        <v>14</v>
      </c>
      <c r="P34" s="24" t="s">
        <v>14</v>
      </c>
      <c r="Q34" s="24" t="s">
        <v>9</v>
      </c>
      <c r="R34" s="6" t="s">
        <v>9</v>
      </c>
      <c r="S34" s="28" t="s">
        <v>9</v>
      </c>
    </row>
    <row r="35" spans="2:19" x14ac:dyDescent="0.2">
      <c r="B35" s="3" t="s">
        <v>86</v>
      </c>
      <c r="C35" s="6">
        <f t="shared" si="1"/>
        <v>10</v>
      </c>
      <c r="D35" s="3" t="s">
        <v>15</v>
      </c>
      <c r="E35" s="6" t="s">
        <v>77</v>
      </c>
      <c r="F35" s="20" t="s">
        <v>130</v>
      </c>
      <c r="G35" s="20" t="s">
        <v>130</v>
      </c>
      <c r="H35" s="20" t="s">
        <v>130</v>
      </c>
      <c r="I35" s="35" t="s">
        <v>9</v>
      </c>
      <c r="J35" s="22" t="s">
        <v>14</v>
      </c>
      <c r="K35" s="22" t="s">
        <v>14</v>
      </c>
      <c r="L35" s="22" t="s">
        <v>14</v>
      </c>
      <c r="M35" s="22" t="s">
        <v>9</v>
      </c>
      <c r="N35" s="24" t="s">
        <v>14</v>
      </c>
      <c r="O35" s="24" t="s">
        <v>14</v>
      </c>
      <c r="P35" s="24" t="s">
        <v>14</v>
      </c>
      <c r="Q35" s="24" t="s">
        <v>9</v>
      </c>
      <c r="R35" s="6" t="s">
        <v>9</v>
      </c>
      <c r="S35" s="28" t="s">
        <v>9</v>
      </c>
    </row>
    <row r="36" spans="2:19" x14ac:dyDescent="0.2">
      <c r="B36" s="3" t="s">
        <v>85</v>
      </c>
      <c r="C36" s="6">
        <f t="shared" si="1"/>
        <v>11</v>
      </c>
      <c r="D36" s="3" t="s">
        <v>104</v>
      </c>
      <c r="E36" s="6" t="s">
        <v>79</v>
      </c>
      <c r="F36" s="20" t="s">
        <v>130</v>
      </c>
      <c r="G36" s="20" t="s">
        <v>130</v>
      </c>
      <c r="H36" s="20" t="s">
        <v>130</v>
      </c>
      <c r="I36" s="35" t="s">
        <v>9</v>
      </c>
      <c r="J36" s="22" t="s">
        <v>14</v>
      </c>
      <c r="K36" s="22" t="s">
        <v>14</v>
      </c>
      <c r="L36" s="22" t="s">
        <v>14</v>
      </c>
      <c r="M36" s="22" t="s">
        <v>9</v>
      </c>
      <c r="N36" s="24" t="s">
        <v>113</v>
      </c>
      <c r="O36" s="24" t="s">
        <v>113</v>
      </c>
      <c r="P36" s="24" t="s">
        <v>113</v>
      </c>
      <c r="Q36" s="24" t="s">
        <v>9</v>
      </c>
      <c r="R36" s="6" t="s">
        <v>9</v>
      </c>
      <c r="S36" s="28" t="s">
        <v>9</v>
      </c>
    </row>
    <row r="37" spans="2:19" x14ac:dyDescent="0.2">
      <c r="B37" s="3" t="s">
        <v>85</v>
      </c>
      <c r="C37" s="6">
        <f t="shared" si="1"/>
        <v>12</v>
      </c>
      <c r="D37" s="3" t="s">
        <v>46</v>
      </c>
      <c r="E37" s="6" t="s">
        <v>78</v>
      </c>
      <c r="F37" s="20" t="s">
        <v>130</v>
      </c>
      <c r="G37" s="20" t="s">
        <v>130</v>
      </c>
      <c r="H37" s="20" t="s">
        <v>130</v>
      </c>
      <c r="I37" s="35" t="s">
        <v>8</v>
      </c>
      <c r="J37" s="22" t="s">
        <v>8</v>
      </c>
      <c r="K37" s="22" t="s">
        <v>8</v>
      </c>
      <c r="L37" s="22" t="s">
        <v>8</v>
      </c>
      <c r="M37" s="22" t="s">
        <v>8</v>
      </c>
      <c r="N37" s="24" t="s">
        <v>14</v>
      </c>
      <c r="O37" s="24" t="s">
        <v>14</v>
      </c>
      <c r="P37" s="24" t="s">
        <v>14</v>
      </c>
      <c r="Q37" s="24" t="s">
        <v>9</v>
      </c>
      <c r="R37" s="6" t="s">
        <v>9</v>
      </c>
      <c r="S37" s="28" t="s">
        <v>9</v>
      </c>
    </row>
    <row r="38" spans="2:19" x14ac:dyDescent="0.2">
      <c r="B38" s="3" t="s">
        <v>85</v>
      </c>
      <c r="C38" s="6">
        <f t="shared" si="1"/>
        <v>13</v>
      </c>
      <c r="D38" s="3" t="s">
        <v>109</v>
      </c>
      <c r="E38" s="6" t="s">
        <v>79</v>
      </c>
      <c r="F38" s="20" t="s">
        <v>130</v>
      </c>
      <c r="G38" s="20" t="s">
        <v>130</v>
      </c>
      <c r="H38" s="20" t="s">
        <v>130</v>
      </c>
      <c r="I38" s="35" t="s">
        <v>14</v>
      </c>
      <c r="J38" s="22" t="s">
        <v>14</v>
      </c>
      <c r="K38" s="22" t="s">
        <v>14</v>
      </c>
      <c r="L38" s="22" t="s">
        <v>14</v>
      </c>
      <c r="M38" s="22" t="s">
        <v>14</v>
      </c>
      <c r="N38" s="24" t="s">
        <v>113</v>
      </c>
      <c r="O38" s="24" t="s">
        <v>113</v>
      </c>
      <c r="P38" s="24" t="s">
        <v>113</v>
      </c>
      <c r="Q38" s="25" t="s">
        <v>14</v>
      </c>
      <c r="R38" s="6" t="s">
        <v>9</v>
      </c>
      <c r="S38" s="28" t="s">
        <v>9</v>
      </c>
    </row>
    <row r="39" spans="2:19" x14ac:dyDescent="0.2">
      <c r="B39" s="3" t="s">
        <v>85</v>
      </c>
      <c r="C39" s="6">
        <f t="shared" si="1"/>
        <v>14</v>
      </c>
      <c r="D39" s="3" t="s">
        <v>108</v>
      </c>
      <c r="E39" s="6" t="s">
        <v>79</v>
      </c>
      <c r="F39" s="20" t="s">
        <v>130</v>
      </c>
      <c r="G39" s="20" t="s">
        <v>130</v>
      </c>
      <c r="H39" s="20" t="s">
        <v>130</v>
      </c>
      <c r="I39" s="35" t="s">
        <v>14</v>
      </c>
      <c r="J39" s="22" t="s">
        <v>14</v>
      </c>
      <c r="K39" s="22" t="s">
        <v>14</v>
      </c>
      <c r="L39" s="22" t="s">
        <v>14</v>
      </c>
      <c r="M39" s="22" t="s">
        <v>14</v>
      </c>
      <c r="N39" s="24" t="s">
        <v>113</v>
      </c>
      <c r="O39" s="24" t="s">
        <v>113</v>
      </c>
      <c r="P39" s="24" t="s">
        <v>113</v>
      </c>
      <c r="Q39" s="25" t="s">
        <v>14</v>
      </c>
      <c r="R39" s="27" t="s">
        <v>14</v>
      </c>
      <c r="S39" s="28" t="s">
        <v>9</v>
      </c>
    </row>
    <row r="40" spans="2:19" x14ac:dyDescent="0.2">
      <c r="B40" s="3" t="s">
        <v>85</v>
      </c>
      <c r="C40" s="6">
        <f t="shared" si="1"/>
        <v>15</v>
      </c>
      <c r="D40" s="3" t="s">
        <v>96</v>
      </c>
      <c r="E40" s="6" t="s">
        <v>79</v>
      </c>
      <c r="F40" s="20" t="s">
        <v>130</v>
      </c>
      <c r="G40" s="20" t="s">
        <v>130</v>
      </c>
      <c r="H40" s="20" t="s">
        <v>130</v>
      </c>
      <c r="I40" s="35" t="s">
        <v>14</v>
      </c>
      <c r="J40" s="22" t="s">
        <v>14</v>
      </c>
      <c r="K40" s="22" t="s">
        <v>14</v>
      </c>
      <c r="L40" s="22" t="s">
        <v>14</v>
      </c>
      <c r="M40" s="22" t="s">
        <v>14</v>
      </c>
      <c r="N40" s="24" t="s">
        <v>14</v>
      </c>
      <c r="O40" s="24" t="s">
        <v>9</v>
      </c>
      <c r="P40" s="24" t="s">
        <v>14</v>
      </c>
      <c r="Q40" s="25" t="s">
        <v>14</v>
      </c>
      <c r="R40" s="6" t="s">
        <v>9</v>
      </c>
      <c r="S40" s="28" t="s">
        <v>9</v>
      </c>
    </row>
    <row r="41" spans="2:19" x14ac:dyDescent="0.2">
      <c r="B41" s="3" t="s">
        <v>86</v>
      </c>
      <c r="C41" s="6">
        <f t="shared" si="1"/>
        <v>16</v>
      </c>
      <c r="D41" s="3" t="s">
        <v>12</v>
      </c>
      <c r="E41" s="6" t="s">
        <v>77</v>
      </c>
      <c r="F41" s="20" t="s">
        <v>130</v>
      </c>
      <c r="G41" s="20" t="s">
        <v>130</v>
      </c>
      <c r="H41" s="20" t="s">
        <v>130</v>
      </c>
      <c r="I41" s="35" t="s">
        <v>14</v>
      </c>
      <c r="J41" s="22" t="s">
        <v>14</v>
      </c>
      <c r="K41" s="22" t="s">
        <v>9</v>
      </c>
      <c r="L41" s="22" t="s">
        <v>14</v>
      </c>
      <c r="M41" s="22" t="s">
        <v>14</v>
      </c>
      <c r="N41" s="24" t="s">
        <v>14</v>
      </c>
      <c r="O41" s="24" t="s">
        <v>98</v>
      </c>
      <c r="P41" s="24" t="s">
        <v>14</v>
      </c>
      <c r="Q41" s="25" t="s">
        <v>14</v>
      </c>
      <c r="R41" s="6" t="s">
        <v>9</v>
      </c>
      <c r="S41" s="28" t="s">
        <v>9</v>
      </c>
    </row>
    <row r="42" spans="2:19" x14ac:dyDescent="0.2">
      <c r="B42" s="3" t="s">
        <v>86</v>
      </c>
      <c r="C42" s="6">
        <f t="shared" si="1"/>
        <v>17</v>
      </c>
      <c r="D42" s="3" t="s">
        <v>123</v>
      </c>
      <c r="E42" s="6" t="s">
        <v>77</v>
      </c>
      <c r="F42" s="20" t="s">
        <v>130</v>
      </c>
      <c r="G42" s="20" t="s">
        <v>130</v>
      </c>
      <c r="H42" s="20" t="s">
        <v>130</v>
      </c>
      <c r="I42" s="35" t="s">
        <v>14</v>
      </c>
      <c r="J42" s="22" t="s">
        <v>14</v>
      </c>
      <c r="K42" s="22" t="s">
        <v>9</v>
      </c>
      <c r="L42" s="22" t="s">
        <v>14</v>
      </c>
      <c r="M42" s="22" t="s">
        <v>14</v>
      </c>
      <c r="N42" s="24" t="s">
        <v>14</v>
      </c>
      <c r="O42" s="24" t="s">
        <v>98</v>
      </c>
      <c r="P42" s="24" t="s">
        <v>14</v>
      </c>
      <c r="Q42" s="25" t="s">
        <v>14</v>
      </c>
      <c r="R42" s="6" t="s">
        <v>9</v>
      </c>
      <c r="S42" s="28" t="s">
        <v>9</v>
      </c>
    </row>
    <row r="43" spans="2:19" x14ac:dyDescent="0.2">
      <c r="B43" s="3" t="s">
        <v>119</v>
      </c>
      <c r="C43" s="6">
        <f t="shared" si="1"/>
        <v>18</v>
      </c>
      <c r="D43" s="3" t="s">
        <v>118</v>
      </c>
      <c r="E43" s="6" t="s">
        <v>120</v>
      </c>
      <c r="F43" s="20" t="s">
        <v>130</v>
      </c>
      <c r="G43" s="20" t="s">
        <v>130</v>
      </c>
      <c r="H43" s="20" t="s">
        <v>130</v>
      </c>
      <c r="I43" s="35" t="s">
        <v>14</v>
      </c>
      <c r="J43" s="22" t="s">
        <v>14</v>
      </c>
      <c r="K43" s="22" t="s">
        <v>14</v>
      </c>
      <c r="L43" s="22" t="s">
        <v>14</v>
      </c>
      <c r="M43" s="22" t="s">
        <v>14</v>
      </c>
      <c r="N43" s="24" t="s">
        <v>14</v>
      </c>
      <c r="O43" s="24" t="s">
        <v>14</v>
      </c>
      <c r="P43" s="24" t="s">
        <v>14</v>
      </c>
      <c r="Q43" s="25" t="s">
        <v>14</v>
      </c>
      <c r="R43" s="27" t="s">
        <v>14</v>
      </c>
      <c r="S43" s="27" t="s">
        <v>14</v>
      </c>
    </row>
    <row r="44" spans="2:19" x14ac:dyDescent="0.2">
      <c r="B44" s="10"/>
      <c r="C44" s="8"/>
      <c r="D44" s="10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2:19" x14ac:dyDescent="0.2">
      <c r="B45" s="10"/>
      <c r="C45" s="8"/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</sheetData>
  <mergeCells count="5">
    <mergeCell ref="B2:S2"/>
    <mergeCell ref="B24:S24"/>
    <mergeCell ref="F4:H4"/>
    <mergeCell ref="J4:M4"/>
    <mergeCell ref="N4:Q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6097-1841-4615-8E02-5A52957D3A82}">
  <dimension ref="B2:J106"/>
  <sheetViews>
    <sheetView tabSelected="1" topLeftCell="A83" workbookViewId="0">
      <selection activeCell="J106" sqref="B46:J106"/>
    </sheetView>
  </sheetViews>
  <sheetFormatPr defaultRowHeight="15" x14ac:dyDescent="0.2"/>
  <cols>
    <col min="1" max="1" width="9.140625" style="5"/>
    <col min="2" max="2" width="20.140625" style="5" customWidth="1"/>
    <col min="3" max="3" width="13.7109375" style="7" bestFit="1" customWidth="1"/>
    <col min="4" max="4" width="53.5703125" style="5" bestFit="1" customWidth="1"/>
    <col min="5" max="5" width="14.85546875" style="7" bestFit="1" customWidth="1"/>
    <col min="6" max="6" width="9.28515625" style="7" customWidth="1"/>
    <col min="7" max="9" width="9.140625" style="7"/>
    <col min="10" max="10" width="9.28515625" style="7" customWidth="1"/>
    <col min="11" max="16384" width="9.140625" style="5"/>
  </cols>
  <sheetData>
    <row r="2" spans="2:10" ht="15" customHeight="1" x14ac:dyDescent="0.2">
      <c r="B2" s="9" t="s">
        <v>34</v>
      </c>
      <c r="C2" s="9"/>
      <c r="D2" s="9"/>
      <c r="E2" s="9"/>
      <c r="F2" s="9"/>
      <c r="G2" s="9"/>
      <c r="H2" s="9"/>
      <c r="I2" s="9"/>
      <c r="J2" s="9"/>
    </row>
    <row r="3" spans="2:10" ht="12" x14ac:dyDescent="0.2">
      <c r="B3" s="17" t="s">
        <v>83</v>
      </c>
      <c r="C3" s="18" t="s">
        <v>69</v>
      </c>
      <c r="D3" s="17" t="s">
        <v>35</v>
      </c>
      <c r="E3" s="18" t="s">
        <v>74</v>
      </c>
      <c r="F3" s="18" t="s">
        <v>3</v>
      </c>
      <c r="G3" s="18" t="s">
        <v>3</v>
      </c>
      <c r="H3" s="18" t="s">
        <v>3</v>
      </c>
      <c r="I3" s="18" t="s">
        <v>3</v>
      </c>
      <c r="J3" s="18" t="s">
        <v>3</v>
      </c>
    </row>
    <row r="4" spans="2:10" ht="12" x14ac:dyDescent="0.2">
      <c r="B4" s="3"/>
      <c r="C4" s="6"/>
      <c r="D4" s="3"/>
      <c r="E4" s="6"/>
      <c r="F4" s="35" t="s">
        <v>11</v>
      </c>
      <c r="G4" s="22" t="s">
        <v>5</v>
      </c>
      <c r="H4" s="24" t="s">
        <v>6</v>
      </c>
      <c r="I4" s="15">
        <v>46006</v>
      </c>
      <c r="J4" s="16" t="s">
        <v>99</v>
      </c>
    </row>
    <row r="5" spans="2:10" ht="12" x14ac:dyDescent="0.2">
      <c r="B5" s="3" t="s">
        <v>84</v>
      </c>
      <c r="C5" s="6">
        <v>1</v>
      </c>
      <c r="D5" s="3" t="s">
        <v>10</v>
      </c>
      <c r="E5" s="6" t="s">
        <v>75</v>
      </c>
      <c r="F5" s="36" t="s">
        <v>9</v>
      </c>
      <c r="G5" s="32" t="s">
        <v>9</v>
      </c>
      <c r="H5" s="29" t="s">
        <v>9</v>
      </c>
      <c r="I5" s="28" t="s">
        <v>9</v>
      </c>
      <c r="J5" s="28" t="s">
        <v>9</v>
      </c>
    </row>
    <row r="6" spans="2:10" ht="12" x14ac:dyDescent="0.2">
      <c r="B6" s="3" t="s">
        <v>84</v>
      </c>
      <c r="C6" s="6">
        <f>C5+1</f>
        <v>2</v>
      </c>
      <c r="D6" s="3" t="s">
        <v>36</v>
      </c>
      <c r="E6" s="6" t="s">
        <v>75</v>
      </c>
      <c r="F6" s="36" t="s">
        <v>9</v>
      </c>
      <c r="G6" s="32" t="s">
        <v>9</v>
      </c>
      <c r="H6" s="29" t="s">
        <v>9</v>
      </c>
      <c r="I6" s="28" t="s">
        <v>9</v>
      </c>
      <c r="J6" s="28" t="s">
        <v>9</v>
      </c>
    </row>
    <row r="7" spans="2:10" ht="12" x14ac:dyDescent="0.2">
      <c r="B7" s="3" t="s">
        <v>84</v>
      </c>
      <c r="C7" s="6">
        <f t="shared" ref="C7:C23" si="0">C6+1</f>
        <v>3</v>
      </c>
      <c r="D7" s="3" t="s">
        <v>7</v>
      </c>
      <c r="E7" s="6" t="s">
        <v>75</v>
      </c>
      <c r="F7" s="36" t="s">
        <v>9</v>
      </c>
      <c r="G7" s="32" t="s">
        <v>9</v>
      </c>
      <c r="H7" s="29" t="s">
        <v>9</v>
      </c>
      <c r="I7" s="28" t="s">
        <v>9</v>
      </c>
      <c r="J7" s="28" t="s">
        <v>9</v>
      </c>
    </row>
    <row r="8" spans="2:10" ht="12" x14ac:dyDescent="0.2">
      <c r="B8" s="3" t="s">
        <v>84</v>
      </c>
      <c r="C8" s="6">
        <f t="shared" si="0"/>
        <v>4</v>
      </c>
      <c r="D8" s="3" t="s">
        <v>16</v>
      </c>
      <c r="E8" s="6" t="s">
        <v>75</v>
      </c>
      <c r="F8" s="36" t="s">
        <v>9</v>
      </c>
      <c r="G8" s="32" t="s">
        <v>9</v>
      </c>
      <c r="H8" s="29" t="s">
        <v>9</v>
      </c>
      <c r="I8" s="28" t="s">
        <v>9</v>
      </c>
      <c r="J8" s="28" t="s">
        <v>9</v>
      </c>
    </row>
    <row r="9" spans="2:10" ht="12" x14ac:dyDescent="0.2">
      <c r="B9" s="3" t="s">
        <v>84</v>
      </c>
      <c r="C9" s="6">
        <f t="shared" si="0"/>
        <v>5</v>
      </c>
      <c r="D9" s="3" t="s">
        <v>94</v>
      </c>
      <c r="E9" s="6" t="s">
        <v>75</v>
      </c>
      <c r="F9" s="36" t="s">
        <v>9</v>
      </c>
      <c r="G9" s="32" t="s">
        <v>9</v>
      </c>
      <c r="H9" s="29" t="s">
        <v>9</v>
      </c>
      <c r="I9" s="28" t="s">
        <v>9</v>
      </c>
      <c r="J9" s="28" t="s">
        <v>9</v>
      </c>
    </row>
    <row r="10" spans="2:10" ht="12" x14ac:dyDescent="0.2">
      <c r="B10" s="3" t="s">
        <v>84</v>
      </c>
      <c r="C10" s="6">
        <f t="shared" si="0"/>
        <v>6</v>
      </c>
      <c r="D10" s="3" t="s">
        <v>115</v>
      </c>
      <c r="E10" s="6" t="s">
        <v>75</v>
      </c>
      <c r="F10" s="36" t="s">
        <v>9</v>
      </c>
      <c r="G10" s="32" t="s">
        <v>9</v>
      </c>
      <c r="H10" s="29" t="s">
        <v>9</v>
      </c>
      <c r="I10" s="28" t="s">
        <v>9</v>
      </c>
      <c r="J10" s="28" t="s">
        <v>9</v>
      </c>
    </row>
    <row r="11" spans="2:10" ht="12" x14ac:dyDescent="0.2">
      <c r="B11" s="3" t="s">
        <v>84</v>
      </c>
      <c r="C11" s="6">
        <f t="shared" si="0"/>
        <v>7</v>
      </c>
      <c r="D11" s="3" t="s">
        <v>93</v>
      </c>
      <c r="E11" s="6" t="s">
        <v>75</v>
      </c>
      <c r="F11" s="36" t="s">
        <v>9</v>
      </c>
      <c r="G11" s="32" t="s">
        <v>9</v>
      </c>
      <c r="H11" s="29" t="s">
        <v>9</v>
      </c>
      <c r="I11" s="28" t="s">
        <v>9</v>
      </c>
      <c r="J11" s="28" t="s">
        <v>9</v>
      </c>
    </row>
    <row r="12" spans="2:10" ht="12" x14ac:dyDescent="0.2">
      <c r="B12" s="3" t="s">
        <v>84</v>
      </c>
      <c r="C12" s="6">
        <f t="shared" si="0"/>
        <v>8</v>
      </c>
      <c r="D12" s="3" t="s">
        <v>17</v>
      </c>
      <c r="E12" s="6" t="s">
        <v>75</v>
      </c>
      <c r="F12" s="36" t="s">
        <v>9</v>
      </c>
      <c r="G12" s="32" t="s">
        <v>9</v>
      </c>
      <c r="H12" s="29" t="s">
        <v>9</v>
      </c>
      <c r="I12" s="28" t="s">
        <v>9</v>
      </c>
      <c r="J12" s="28" t="s">
        <v>9</v>
      </c>
    </row>
    <row r="13" spans="2:10" ht="12" x14ac:dyDescent="0.2">
      <c r="B13" s="3" t="s">
        <v>84</v>
      </c>
      <c r="C13" s="6">
        <f t="shared" si="0"/>
        <v>9</v>
      </c>
      <c r="D13" s="3" t="s">
        <v>114</v>
      </c>
      <c r="E13" s="6" t="s">
        <v>75</v>
      </c>
      <c r="F13" s="36" t="s">
        <v>9</v>
      </c>
      <c r="G13" s="32" t="s">
        <v>9</v>
      </c>
      <c r="H13" s="29" t="s">
        <v>9</v>
      </c>
      <c r="I13" s="28" t="s">
        <v>9</v>
      </c>
      <c r="J13" s="28" t="s">
        <v>9</v>
      </c>
    </row>
    <row r="14" spans="2:10" ht="12" x14ac:dyDescent="0.2">
      <c r="B14" s="3" t="s">
        <v>84</v>
      </c>
      <c r="C14" s="6">
        <f t="shared" si="0"/>
        <v>10</v>
      </c>
      <c r="D14" s="3" t="s">
        <v>103</v>
      </c>
      <c r="E14" s="6" t="s">
        <v>75</v>
      </c>
      <c r="F14" s="36" t="s">
        <v>9</v>
      </c>
      <c r="G14" s="32" t="s">
        <v>9</v>
      </c>
      <c r="H14" s="29" t="s">
        <v>9</v>
      </c>
      <c r="I14" s="28" t="s">
        <v>9</v>
      </c>
      <c r="J14" s="28" t="s">
        <v>9</v>
      </c>
    </row>
    <row r="15" spans="2:10" ht="12" x14ac:dyDescent="0.2">
      <c r="B15" s="3" t="s">
        <v>84</v>
      </c>
      <c r="C15" s="6">
        <f t="shared" si="0"/>
        <v>11</v>
      </c>
      <c r="D15" s="3" t="s">
        <v>128</v>
      </c>
      <c r="E15" s="6" t="s">
        <v>82</v>
      </c>
      <c r="F15" s="36" t="s">
        <v>9</v>
      </c>
      <c r="G15" s="32" t="s">
        <v>9</v>
      </c>
      <c r="H15" s="29" t="s">
        <v>9</v>
      </c>
      <c r="I15" s="28" t="s">
        <v>9</v>
      </c>
      <c r="J15" s="28" t="s">
        <v>9</v>
      </c>
    </row>
    <row r="16" spans="2:10" ht="12" x14ac:dyDescent="0.2">
      <c r="B16" s="3" t="s">
        <v>84</v>
      </c>
      <c r="C16" s="6">
        <f t="shared" si="0"/>
        <v>12</v>
      </c>
      <c r="D16" s="3" t="s">
        <v>95</v>
      </c>
      <c r="E16" s="6" t="s">
        <v>75</v>
      </c>
      <c r="F16" s="35" t="s">
        <v>8</v>
      </c>
      <c r="G16" s="32" t="s">
        <v>9</v>
      </c>
      <c r="H16" s="29" t="s">
        <v>9</v>
      </c>
      <c r="I16" s="28" t="s">
        <v>9</v>
      </c>
      <c r="J16" s="28" t="s">
        <v>9</v>
      </c>
    </row>
    <row r="17" spans="2:10" ht="12" x14ac:dyDescent="0.2">
      <c r="B17" s="3" t="s">
        <v>84</v>
      </c>
      <c r="C17" s="6">
        <f t="shared" si="0"/>
        <v>13</v>
      </c>
      <c r="D17" s="3" t="s">
        <v>13</v>
      </c>
      <c r="E17" s="6" t="s">
        <v>82</v>
      </c>
      <c r="F17" s="35" t="s">
        <v>130</v>
      </c>
      <c r="G17" s="34" t="s">
        <v>130</v>
      </c>
      <c r="H17" s="29" t="s">
        <v>9</v>
      </c>
      <c r="I17" s="28" t="s">
        <v>9</v>
      </c>
      <c r="J17" s="28" t="s">
        <v>9</v>
      </c>
    </row>
    <row r="18" spans="2:10" ht="12" x14ac:dyDescent="0.2">
      <c r="B18" s="3" t="s">
        <v>84</v>
      </c>
      <c r="C18" s="6">
        <f t="shared" si="0"/>
        <v>14</v>
      </c>
      <c r="D18" s="3" t="s">
        <v>112</v>
      </c>
      <c r="E18" s="6" t="s">
        <v>75</v>
      </c>
      <c r="F18" s="35" t="s">
        <v>130</v>
      </c>
      <c r="G18" s="34" t="s">
        <v>130</v>
      </c>
      <c r="H18" s="29" t="s">
        <v>9</v>
      </c>
      <c r="I18" s="28" t="s">
        <v>9</v>
      </c>
      <c r="J18" s="28" t="s">
        <v>9</v>
      </c>
    </row>
    <row r="19" spans="2:10" ht="12" x14ac:dyDescent="0.2">
      <c r="B19" s="3" t="s">
        <v>84</v>
      </c>
      <c r="C19" s="6">
        <f t="shared" si="0"/>
        <v>15</v>
      </c>
      <c r="D19" s="3" t="s">
        <v>127</v>
      </c>
      <c r="E19" s="6" t="s">
        <v>75</v>
      </c>
      <c r="F19" s="35" t="s">
        <v>130</v>
      </c>
      <c r="G19" s="34" t="s">
        <v>130</v>
      </c>
      <c r="H19" s="29" t="s">
        <v>9</v>
      </c>
      <c r="I19" s="30" t="s">
        <v>9</v>
      </c>
      <c r="J19" s="28" t="s">
        <v>9</v>
      </c>
    </row>
    <row r="20" spans="2:10" ht="12" x14ac:dyDescent="0.2">
      <c r="B20" s="3" t="s">
        <v>84</v>
      </c>
      <c r="C20" s="6">
        <f t="shared" si="0"/>
        <v>16</v>
      </c>
      <c r="D20" s="3" t="s">
        <v>71</v>
      </c>
      <c r="E20" s="6" t="s">
        <v>82</v>
      </c>
      <c r="F20" s="35" t="s">
        <v>130</v>
      </c>
      <c r="G20" s="34" t="s">
        <v>130</v>
      </c>
      <c r="H20" s="29" t="s">
        <v>9</v>
      </c>
      <c r="I20" s="28" t="s">
        <v>9</v>
      </c>
      <c r="J20" s="28" t="s">
        <v>9</v>
      </c>
    </row>
    <row r="21" spans="2:10" ht="12" x14ac:dyDescent="0.2">
      <c r="B21" s="3" t="s">
        <v>84</v>
      </c>
      <c r="C21" s="6">
        <f t="shared" si="0"/>
        <v>17</v>
      </c>
      <c r="D21" s="3" t="s">
        <v>70</v>
      </c>
      <c r="E21" s="6" t="s">
        <v>82</v>
      </c>
      <c r="F21" s="35" t="s">
        <v>130</v>
      </c>
      <c r="G21" s="34" t="s">
        <v>130</v>
      </c>
      <c r="H21" s="29" t="s">
        <v>9</v>
      </c>
      <c r="I21" s="28" t="s">
        <v>9</v>
      </c>
      <c r="J21" s="28" t="s">
        <v>9</v>
      </c>
    </row>
    <row r="22" spans="2:10" ht="12" x14ac:dyDescent="0.2">
      <c r="B22" s="3" t="s">
        <v>84</v>
      </c>
      <c r="C22" s="6">
        <f t="shared" si="0"/>
        <v>18</v>
      </c>
      <c r="D22" s="3" t="s">
        <v>73</v>
      </c>
      <c r="E22" s="6" t="s">
        <v>82</v>
      </c>
      <c r="F22" s="35" t="s">
        <v>130</v>
      </c>
      <c r="G22" s="34" t="s">
        <v>130</v>
      </c>
      <c r="H22" s="29" t="s">
        <v>9</v>
      </c>
      <c r="I22" s="28" t="s">
        <v>9</v>
      </c>
      <c r="J22" s="28" t="s">
        <v>9</v>
      </c>
    </row>
    <row r="23" spans="2:10" ht="12" x14ac:dyDescent="0.2">
      <c r="B23" s="3" t="s">
        <v>84</v>
      </c>
      <c r="C23" s="6">
        <f t="shared" si="0"/>
        <v>19</v>
      </c>
      <c r="D23" s="3" t="s">
        <v>126</v>
      </c>
      <c r="E23" s="6" t="s">
        <v>75</v>
      </c>
      <c r="F23" s="35" t="s">
        <v>130</v>
      </c>
      <c r="G23" s="34" t="s">
        <v>130</v>
      </c>
      <c r="H23" s="25" t="s">
        <v>14</v>
      </c>
      <c r="I23" s="26" t="s">
        <v>14</v>
      </c>
      <c r="J23" s="28" t="s">
        <v>9</v>
      </c>
    </row>
    <row r="24" spans="2:10" ht="15" customHeight="1" x14ac:dyDescent="0.2">
      <c r="B24" s="38" t="s">
        <v>129</v>
      </c>
      <c r="C24" s="38"/>
      <c r="D24" s="38"/>
      <c r="E24" s="38"/>
      <c r="F24" s="38"/>
      <c r="G24" s="38"/>
      <c r="H24" s="38"/>
      <c r="I24" s="38"/>
      <c r="J24" s="38"/>
    </row>
    <row r="25" spans="2:10" ht="12" x14ac:dyDescent="0.2">
      <c r="B25" s="17" t="s">
        <v>83</v>
      </c>
      <c r="C25" s="18" t="s">
        <v>69</v>
      </c>
      <c r="D25" s="17" t="s">
        <v>35</v>
      </c>
      <c r="E25" s="18" t="s">
        <v>74</v>
      </c>
      <c r="F25" s="18" t="s">
        <v>3</v>
      </c>
      <c r="G25" s="18" t="s">
        <v>3</v>
      </c>
      <c r="H25" s="18" t="s">
        <v>3</v>
      </c>
      <c r="I25" s="18" t="s">
        <v>3</v>
      </c>
      <c r="J25" s="18" t="s">
        <v>3</v>
      </c>
    </row>
    <row r="26" spans="2:10" ht="12" x14ac:dyDescent="0.2">
      <c r="B26" s="3" t="s">
        <v>85</v>
      </c>
      <c r="C26" s="6">
        <v>1</v>
      </c>
      <c r="D26" s="3" t="s">
        <v>81</v>
      </c>
      <c r="E26" s="6" t="s">
        <v>101</v>
      </c>
      <c r="F26" s="36" t="s">
        <v>9</v>
      </c>
      <c r="G26" s="33" t="s">
        <v>9</v>
      </c>
      <c r="H26" s="29" t="s">
        <v>9</v>
      </c>
      <c r="I26" s="28" t="s">
        <v>9</v>
      </c>
      <c r="J26" s="28" t="s">
        <v>9</v>
      </c>
    </row>
    <row r="27" spans="2:10" ht="12" x14ac:dyDescent="0.2">
      <c r="B27" s="3" t="s">
        <v>85</v>
      </c>
      <c r="C27" s="6">
        <f>C26+1</f>
        <v>2</v>
      </c>
      <c r="D27" s="3" t="s">
        <v>33</v>
      </c>
      <c r="E27" s="6" t="s">
        <v>101</v>
      </c>
      <c r="F27" s="36" t="s">
        <v>9</v>
      </c>
      <c r="G27" s="33" t="s">
        <v>9</v>
      </c>
      <c r="H27" s="29" t="s">
        <v>9</v>
      </c>
      <c r="I27" s="28" t="s">
        <v>9</v>
      </c>
      <c r="J27" s="28" t="s">
        <v>9</v>
      </c>
    </row>
    <row r="28" spans="2:10" ht="12" x14ac:dyDescent="0.2">
      <c r="B28" s="3" t="s">
        <v>119</v>
      </c>
      <c r="C28" s="6">
        <f t="shared" ref="C28:C43" si="1">C27+1</f>
        <v>3</v>
      </c>
      <c r="D28" s="3" t="s">
        <v>117</v>
      </c>
      <c r="E28" s="6" t="s">
        <v>120</v>
      </c>
      <c r="F28" s="36" t="s">
        <v>9</v>
      </c>
      <c r="G28" s="33" t="s">
        <v>9</v>
      </c>
      <c r="H28" s="29" t="s">
        <v>9</v>
      </c>
      <c r="I28" s="28" t="s">
        <v>9</v>
      </c>
      <c r="J28" s="28" t="s">
        <v>9</v>
      </c>
    </row>
    <row r="29" spans="2:10" ht="12" x14ac:dyDescent="0.2">
      <c r="B29" s="3" t="s">
        <v>85</v>
      </c>
      <c r="C29" s="6">
        <f t="shared" si="1"/>
        <v>4</v>
      </c>
      <c r="D29" s="3" t="s">
        <v>97</v>
      </c>
      <c r="E29" s="6" t="s">
        <v>79</v>
      </c>
      <c r="F29" s="36" t="s">
        <v>9</v>
      </c>
      <c r="G29" s="22" t="s">
        <v>8</v>
      </c>
      <c r="H29" s="29" t="s">
        <v>9</v>
      </c>
      <c r="I29" s="28" t="s">
        <v>9</v>
      </c>
      <c r="J29" s="28" t="s">
        <v>9</v>
      </c>
    </row>
    <row r="30" spans="2:10" ht="12" x14ac:dyDescent="0.2">
      <c r="B30" s="3" t="s">
        <v>85</v>
      </c>
      <c r="C30" s="6">
        <f t="shared" si="1"/>
        <v>5</v>
      </c>
      <c r="D30" s="3" t="s">
        <v>100</v>
      </c>
      <c r="E30" s="6" t="s">
        <v>79</v>
      </c>
      <c r="F30" s="36" t="s">
        <v>9</v>
      </c>
      <c r="G30" s="33" t="s">
        <v>9</v>
      </c>
      <c r="H30" s="29" t="s">
        <v>9</v>
      </c>
      <c r="I30" s="28" t="s">
        <v>9</v>
      </c>
      <c r="J30" s="28" t="s">
        <v>9</v>
      </c>
    </row>
    <row r="31" spans="2:10" ht="12" x14ac:dyDescent="0.2">
      <c r="B31" s="3" t="s">
        <v>85</v>
      </c>
      <c r="C31" s="6">
        <f t="shared" si="1"/>
        <v>6</v>
      </c>
      <c r="D31" s="3" t="s">
        <v>80</v>
      </c>
      <c r="E31" s="6" t="s">
        <v>79</v>
      </c>
      <c r="F31" s="36" t="s">
        <v>9</v>
      </c>
      <c r="G31" s="33" t="s">
        <v>9</v>
      </c>
      <c r="H31" s="29" t="s">
        <v>9</v>
      </c>
      <c r="I31" s="28" t="s">
        <v>9</v>
      </c>
      <c r="J31" s="28" t="s">
        <v>9</v>
      </c>
    </row>
    <row r="32" spans="2:10" ht="12" x14ac:dyDescent="0.2">
      <c r="B32" s="3" t="s">
        <v>110</v>
      </c>
      <c r="C32" s="6">
        <f t="shared" si="1"/>
        <v>7</v>
      </c>
      <c r="D32" s="3" t="s">
        <v>116</v>
      </c>
      <c r="E32" s="6" t="s">
        <v>77</v>
      </c>
      <c r="F32" s="36" t="s">
        <v>9</v>
      </c>
      <c r="G32" s="33" t="s">
        <v>9</v>
      </c>
      <c r="H32" s="29" t="s">
        <v>9</v>
      </c>
      <c r="I32" s="28" t="s">
        <v>9</v>
      </c>
      <c r="J32" s="28" t="s">
        <v>9</v>
      </c>
    </row>
    <row r="33" spans="2:10" ht="12" x14ac:dyDescent="0.2">
      <c r="B33" s="3" t="s">
        <v>110</v>
      </c>
      <c r="C33" s="6">
        <f t="shared" si="1"/>
        <v>8</v>
      </c>
      <c r="D33" s="3" t="s">
        <v>102</v>
      </c>
      <c r="E33" s="6" t="s">
        <v>77</v>
      </c>
      <c r="F33" s="36" t="s">
        <v>9</v>
      </c>
      <c r="G33" s="33" t="s">
        <v>9</v>
      </c>
      <c r="H33" s="29" t="s">
        <v>9</v>
      </c>
      <c r="I33" s="28" t="s">
        <v>9</v>
      </c>
      <c r="J33" s="28" t="s">
        <v>9</v>
      </c>
    </row>
    <row r="34" spans="2:10" ht="12" x14ac:dyDescent="0.2">
      <c r="B34" s="3" t="s">
        <v>86</v>
      </c>
      <c r="C34" s="6">
        <f t="shared" si="1"/>
        <v>9</v>
      </c>
      <c r="D34" s="3" t="s">
        <v>76</v>
      </c>
      <c r="E34" s="6" t="s">
        <v>77</v>
      </c>
      <c r="F34" s="36" t="s">
        <v>9</v>
      </c>
      <c r="G34" s="33" t="s">
        <v>9</v>
      </c>
      <c r="H34" s="29" t="s">
        <v>9</v>
      </c>
      <c r="I34" s="28" t="s">
        <v>9</v>
      </c>
      <c r="J34" s="28" t="s">
        <v>9</v>
      </c>
    </row>
    <row r="35" spans="2:10" ht="12" x14ac:dyDescent="0.2">
      <c r="B35" s="3" t="s">
        <v>86</v>
      </c>
      <c r="C35" s="6">
        <f t="shared" si="1"/>
        <v>10</v>
      </c>
      <c r="D35" s="3" t="s">
        <v>15</v>
      </c>
      <c r="E35" s="6" t="s">
        <v>77</v>
      </c>
      <c r="F35" s="36" t="s">
        <v>9</v>
      </c>
      <c r="G35" s="33" t="s">
        <v>9</v>
      </c>
      <c r="H35" s="29" t="s">
        <v>9</v>
      </c>
      <c r="I35" s="28" t="s">
        <v>9</v>
      </c>
      <c r="J35" s="28" t="s">
        <v>9</v>
      </c>
    </row>
    <row r="36" spans="2:10" ht="12" x14ac:dyDescent="0.2">
      <c r="B36" s="3" t="s">
        <v>85</v>
      </c>
      <c r="C36" s="6">
        <f t="shared" si="1"/>
        <v>11</v>
      </c>
      <c r="D36" s="3" t="s">
        <v>104</v>
      </c>
      <c r="E36" s="6" t="s">
        <v>79</v>
      </c>
      <c r="F36" s="36" t="s">
        <v>9</v>
      </c>
      <c r="G36" s="33" t="s">
        <v>9</v>
      </c>
      <c r="H36" s="29" t="s">
        <v>9</v>
      </c>
      <c r="I36" s="28" t="s">
        <v>9</v>
      </c>
      <c r="J36" s="28" t="s">
        <v>9</v>
      </c>
    </row>
    <row r="37" spans="2:10" ht="12" x14ac:dyDescent="0.2">
      <c r="B37" s="3" t="s">
        <v>85</v>
      </c>
      <c r="C37" s="6">
        <f t="shared" si="1"/>
        <v>12</v>
      </c>
      <c r="D37" s="3" t="s">
        <v>46</v>
      </c>
      <c r="E37" s="6" t="s">
        <v>78</v>
      </c>
      <c r="F37" s="35" t="s">
        <v>8</v>
      </c>
      <c r="G37" s="22" t="s">
        <v>8</v>
      </c>
      <c r="H37" s="29" t="s">
        <v>9</v>
      </c>
      <c r="I37" s="28" t="s">
        <v>9</v>
      </c>
      <c r="J37" s="28" t="s">
        <v>9</v>
      </c>
    </row>
    <row r="38" spans="2:10" ht="12" x14ac:dyDescent="0.2">
      <c r="B38" s="3" t="s">
        <v>85</v>
      </c>
      <c r="C38" s="6">
        <f t="shared" si="1"/>
        <v>13</v>
      </c>
      <c r="D38" s="3" t="s">
        <v>96</v>
      </c>
      <c r="E38" s="6" t="s">
        <v>79</v>
      </c>
      <c r="F38" s="35" t="s">
        <v>14</v>
      </c>
      <c r="G38" s="22" t="s">
        <v>14</v>
      </c>
      <c r="H38" s="25" t="s">
        <v>14</v>
      </c>
      <c r="I38" s="28" t="s">
        <v>9</v>
      </c>
      <c r="J38" s="28" t="s">
        <v>9</v>
      </c>
    </row>
    <row r="39" spans="2:10" ht="12" x14ac:dyDescent="0.2">
      <c r="B39" s="3" t="s">
        <v>86</v>
      </c>
      <c r="C39" s="6">
        <f t="shared" si="1"/>
        <v>14</v>
      </c>
      <c r="D39" s="3" t="s">
        <v>12</v>
      </c>
      <c r="E39" s="6" t="s">
        <v>77</v>
      </c>
      <c r="F39" s="35" t="s">
        <v>14</v>
      </c>
      <c r="G39" s="22" t="s">
        <v>14</v>
      </c>
      <c r="H39" s="25" t="s">
        <v>14</v>
      </c>
      <c r="I39" s="28" t="s">
        <v>9</v>
      </c>
      <c r="J39" s="28" t="s">
        <v>9</v>
      </c>
    </row>
    <row r="40" spans="2:10" ht="12" x14ac:dyDescent="0.2">
      <c r="B40" s="3" t="s">
        <v>86</v>
      </c>
      <c r="C40" s="6">
        <f t="shared" si="1"/>
        <v>15</v>
      </c>
      <c r="D40" s="3" t="s">
        <v>123</v>
      </c>
      <c r="E40" s="6" t="s">
        <v>77</v>
      </c>
      <c r="F40" s="35" t="s">
        <v>14</v>
      </c>
      <c r="G40" s="22" t="s">
        <v>14</v>
      </c>
      <c r="H40" s="25" t="s">
        <v>14</v>
      </c>
      <c r="I40" s="28" t="s">
        <v>9</v>
      </c>
      <c r="J40" s="28" t="s">
        <v>9</v>
      </c>
    </row>
    <row r="41" spans="2:10" ht="12" x14ac:dyDescent="0.2">
      <c r="B41" s="3" t="s">
        <v>85</v>
      </c>
      <c r="C41" s="6">
        <f t="shared" si="1"/>
        <v>16</v>
      </c>
      <c r="D41" s="3" t="s">
        <v>109</v>
      </c>
      <c r="E41" s="6" t="s">
        <v>79</v>
      </c>
      <c r="F41" s="35" t="s">
        <v>14</v>
      </c>
      <c r="G41" s="22" t="s">
        <v>14</v>
      </c>
      <c r="H41" s="25" t="s">
        <v>14</v>
      </c>
      <c r="I41" s="28" t="s">
        <v>9</v>
      </c>
      <c r="J41" s="28" t="s">
        <v>9</v>
      </c>
    </row>
    <row r="42" spans="2:10" ht="12" x14ac:dyDescent="0.2">
      <c r="B42" s="3" t="s">
        <v>85</v>
      </c>
      <c r="C42" s="6">
        <f t="shared" si="1"/>
        <v>17</v>
      </c>
      <c r="D42" s="3" t="s">
        <v>108</v>
      </c>
      <c r="E42" s="6" t="s">
        <v>79</v>
      </c>
      <c r="F42" s="35" t="s">
        <v>14</v>
      </c>
      <c r="G42" s="22" t="s">
        <v>14</v>
      </c>
      <c r="H42" s="25" t="s">
        <v>14</v>
      </c>
      <c r="I42" s="27" t="s">
        <v>14</v>
      </c>
      <c r="J42" s="28" t="s">
        <v>9</v>
      </c>
    </row>
    <row r="43" spans="2:10" ht="12" x14ac:dyDescent="0.2">
      <c r="B43" s="3" t="s">
        <v>119</v>
      </c>
      <c r="C43" s="6">
        <f t="shared" si="1"/>
        <v>18</v>
      </c>
      <c r="D43" s="3" t="s">
        <v>118</v>
      </c>
      <c r="E43" s="6" t="s">
        <v>120</v>
      </c>
      <c r="F43" s="35" t="s">
        <v>14</v>
      </c>
      <c r="G43" s="22" t="s">
        <v>14</v>
      </c>
      <c r="H43" s="25" t="s">
        <v>14</v>
      </c>
      <c r="I43" s="27" t="s">
        <v>14</v>
      </c>
      <c r="J43" s="27" t="s">
        <v>14</v>
      </c>
    </row>
    <row r="44" spans="2:10" ht="12" x14ac:dyDescent="0.2">
      <c r="B44" s="10"/>
      <c r="C44" s="8"/>
      <c r="D44" s="10"/>
      <c r="E44" s="8"/>
      <c r="F44" s="8"/>
      <c r="G44" s="8"/>
      <c r="H44" s="8"/>
      <c r="I44" s="8"/>
      <c r="J44" s="8"/>
    </row>
    <row r="45" spans="2:10" ht="12" x14ac:dyDescent="0.2">
      <c r="B45" s="10"/>
      <c r="C45" s="8"/>
      <c r="D45" s="10"/>
      <c r="E45" s="8"/>
      <c r="F45" s="8"/>
      <c r="G45" s="8"/>
      <c r="H45" s="8"/>
      <c r="I45" s="8"/>
      <c r="J45" s="8"/>
    </row>
    <row r="46" spans="2:10" ht="15" customHeight="1" x14ac:dyDescent="0.2">
      <c r="B46" s="11" t="s">
        <v>21</v>
      </c>
      <c r="C46" s="12"/>
      <c r="D46" s="12"/>
      <c r="E46" s="12"/>
      <c r="F46" s="12"/>
      <c r="G46" s="12"/>
      <c r="H46" s="12"/>
      <c r="I46" s="12"/>
      <c r="J46" s="13"/>
    </row>
    <row r="47" spans="2:10" ht="12" x14ac:dyDescent="0.2">
      <c r="B47" s="3"/>
      <c r="C47" s="6"/>
      <c r="D47" s="3"/>
      <c r="E47" s="6"/>
      <c r="F47" s="4" t="s">
        <v>11</v>
      </c>
      <c r="G47" s="22" t="s">
        <v>5</v>
      </c>
      <c r="H47" s="24" t="s">
        <v>6</v>
      </c>
      <c r="I47" s="15">
        <v>46006</v>
      </c>
      <c r="J47" s="16" t="s">
        <v>18</v>
      </c>
    </row>
    <row r="48" spans="2:10" ht="12" x14ac:dyDescent="0.2">
      <c r="B48" s="3" t="s">
        <v>83</v>
      </c>
      <c r="C48" s="6" t="s">
        <v>69</v>
      </c>
      <c r="D48" s="3" t="s">
        <v>35</v>
      </c>
      <c r="E48" s="6" t="s">
        <v>74</v>
      </c>
      <c r="F48" s="6" t="s">
        <v>3</v>
      </c>
      <c r="G48" s="6" t="s">
        <v>3</v>
      </c>
      <c r="H48" s="6" t="s">
        <v>3</v>
      </c>
      <c r="I48" s="6" t="s">
        <v>3</v>
      </c>
      <c r="J48" s="6" t="s">
        <v>3</v>
      </c>
    </row>
    <row r="49" spans="2:10" ht="12" x14ac:dyDescent="0.2">
      <c r="B49" s="3" t="s">
        <v>87</v>
      </c>
      <c r="C49" s="6">
        <f>1</f>
        <v>1</v>
      </c>
      <c r="D49" s="3" t="s">
        <v>19</v>
      </c>
      <c r="E49" s="6" t="s">
        <v>131</v>
      </c>
      <c r="F49" s="6" t="s">
        <v>14</v>
      </c>
      <c r="G49" s="6" t="s">
        <v>9</v>
      </c>
      <c r="H49" s="28" t="s">
        <v>9</v>
      </c>
      <c r="I49" s="28" t="s">
        <v>9</v>
      </c>
      <c r="J49" s="28" t="s">
        <v>9</v>
      </c>
    </row>
    <row r="50" spans="2:10" ht="12" x14ac:dyDescent="0.2">
      <c r="B50" s="3" t="s">
        <v>87</v>
      </c>
      <c r="C50" s="6">
        <f>C49+1</f>
        <v>2</v>
      </c>
      <c r="D50" s="3" t="s">
        <v>121</v>
      </c>
      <c r="E50" s="6" t="s">
        <v>131</v>
      </c>
      <c r="F50" s="6"/>
      <c r="G50" s="6" t="s">
        <v>9</v>
      </c>
      <c r="H50" s="28" t="s">
        <v>9</v>
      </c>
      <c r="I50" s="28" t="s">
        <v>9</v>
      </c>
      <c r="J50" s="28" t="s">
        <v>9</v>
      </c>
    </row>
    <row r="51" spans="2:10" ht="12" x14ac:dyDescent="0.2">
      <c r="B51" s="3" t="s">
        <v>87</v>
      </c>
      <c r="C51" s="6">
        <f t="shared" ref="C51:C87" si="2">C50+1</f>
        <v>3</v>
      </c>
      <c r="D51" s="3" t="s">
        <v>122</v>
      </c>
      <c r="E51" s="6" t="s">
        <v>131</v>
      </c>
      <c r="F51" s="6"/>
      <c r="G51" s="6" t="s">
        <v>9</v>
      </c>
      <c r="H51" s="28" t="s">
        <v>9</v>
      </c>
      <c r="I51" s="28" t="s">
        <v>9</v>
      </c>
      <c r="J51" s="28" t="s">
        <v>9</v>
      </c>
    </row>
    <row r="52" spans="2:10" ht="12" x14ac:dyDescent="0.2">
      <c r="B52" s="3" t="s">
        <v>87</v>
      </c>
      <c r="C52" s="6">
        <f t="shared" si="2"/>
        <v>4</v>
      </c>
      <c r="D52" s="3" t="s">
        <v>111</v>
      </c>
      <c r="E52" s="6" t="s">
        <v>131</v>
      </c>
      <c r="F52" s="6"/>
      <c r="G52" s="6" t="s">
        <v>9</v>
      </c>
      <c r="H52" s="28" t="s">
        <v>9</v>
      </c>
      <c r="I52" s="28" t="s">
        <v>9</v>
      </c>
      <c r="J52" s="28" t="s">
        <v>9</v>
      </c>
    </row>
    <row r="53" spans="2:10" ht="12" x14ac:dyDescent="0.2">
      <c r="B53" s="3" t="s">
        <v>87</v>
      </c>
      <c r="C53" s="6">
        <f t="shared" si="2"/>
        <v>5</v>
      </c>
      <c r="D53" s="3" t="s">
        <v>72</v>
      </c>
      <c r="E53" s="6" t="s">
        <v>131</v>
      </c>
      <c r="F53" s="6"/>
      <c r="G53" s="6" t="s">
        <v>9</v>
      </c>
      <c r="H53" s="28" t="s">
        <v>9</v>
      </c>
      <c r="I53" s="28" t="s">
        <v>9</v>
      </c>
      <c r="J53" s="28" t="s">
        <v>9</v>
      </c>
    </row>
    <row r="54" spans="2:10" ht="12" x14ac:dyDescent="0.2">
      <c r="B54" s="3" t="s">
        <v>87</v>
      </c>
      <c r="C54" s="6">
        <f t="shared" si="2"/>
        <v>6</v>
      </c>
      <c r="D54" s="3" t="s">
        <v>38</v>
      </c>
      <c r="E54" s="6" t="s">
        <v>131</v>
      </c>
      <c r="F54" s="6"/>
      <c r="G54" s="6" t="s">
        <v>9</v>
      </c>
      <c r="H54" s="28" t="s">
        <v>9</v>
      </c>
      <c r="I54" s="28" t="s">
        <v>9</v>
      </c>
      <c r="J54" s="28" t="s">
        <v>9</v>
      </c>
    </row>
    <row r="55" spans="2:10" ht="12" x14ac:dyDescent="0.2">
      <c r="B55" s="3" t="s">
        <v>87</v>
      </c>
      <c r="C55" s="6">
        <f t="shared" si="2"/>
        <v>7</v>
      </c>
      <c r="D55" s="3" t="s">
        <v>20</v>
      </c>
      <c r="E55" s="6" t="s">
        <v>131</v>
      </c>
      <c r="F55" s="6"/>
      <c r="G55" s="6" t="s">
        <v>98</v>
      </c>
      <c r="H55" s="28" t="s">
        <v>9</v>
      </c>
      <c r="I55" s="28" t="s">
        <v>9</v>
      </c>
      <c r="J55" s="28" t="s">
        <v>9</v>
      </c>
    </row>
    <row r="56" spans="2:10" ht="12" x14ac:dyDescent="0.2">
      <c r="B56" s="3" t="s">
        <v>87</v>
      </c>
      <c r="C56" s="6">
        <f t="shared" si="2"/>
        <v>8</v>
      </c>
      <c r="D56" s="3" t="s">
        <v>107</v>
      </c>
      <c r="E56" s="6" t="s">
        <v>131</v>
      </c>
      <c r="F56" s="6"/>
      <c r="G56" s="6" t="s">
        <v>14</v>
      </c>
      <c r="H56" s="28" t="s">
        <v>9</v>
      </c>
      <c r="I56" s="28" t="s">
        <v>9</v>
      </c>
      <c r="J56" s="28" t="s">
        <v>9</v>
      </c>
    </row>
    <row r="57" spans="2:10" ht="12" x14ac:dyDescent="0.2">
      <c r="B57" s="3" t="s">
        <v>87</v>
      </c>
      <c r="C57" s="6">
        <f t="shared" si="2"/>
        <v>9</v>
      </c>
      <c r="D57" s="3" t="s">
        <v>106</v>
      </c>
      <c r="E57" s="6" t="s">
        <v>131</v>
      </c>
      <c r="F57" s="6"/>
      <c r="G57" s="6" t="s">
        <v>9</v>
      </c>
      <c r="H57" s="28" t="s">
        <v>9</v>
      </c>
      <c r="I57" s="28" t="s">
        <v>9</v>
      </c>
      <c r="J57" s="28" t="s">
        <v>9</v>
      </c>
    </row>
    <row r="58" spans="2:10" ht="12" x14ac:dyDescent="0.2">
      <c r="B58" s="3" t="s">
        <v>87</v>
      </c>
      <c r="C58" s="6">
        <f t="shared" si="2"/>
        <v>10</v>
      </c>
      <c r="D58" s="3" t="s">
        <v>105</v>
      </c>
      <c r="E58" s="6" t="s">
        <v>131</v>
      </c>
      <c r="F58" s="6"/>
      <c r="G58" s="6" t="s">
        <v>9</v>
      </c>
      <c r="H58" s="28" t="s">
        <v>9</v>
      </c>
      <c r="I58" s="28" t="s">
        <v>9</v>
      </c>
      <c r="J58" s="28" t="s">
        <v>9</v>
      </c>
    </row>
    <row r="59" spans="2:10" ht="12" x14ac:dyDescent="0.2">
      <c r="B59" s="3" t="s">
        <v>87</v>
      </c>
      <c r="C59" s="6">
        <f t="shared" si="2"/>
        <v>11</v>
      </c>
      <c r="D59" s="3" t="s">
        <v>22</v>
      </c>
      <c r="E59" s="6" t="s">
        <v>131</v>
      </c>
      <c r="F59" s="6"/>
      <c r="G59" s="6" t="s">
        <v>9</v>
      </c>
      <c r="H59" s="28" t="s">
        <v>9</v>
      </c>
      <c r="I59" s="28" t="s">
        <v>9</v>
      </c>
      <c r="J59" s="28" t="s">
        <v>9</v>
      </c>
    </row>
    <row r="60" spans="2:10" ht="12" x14ac:dyDescent="0.2">
      <c r="B60" s="3" t="s">
        <v>87</v>
      </c>
      <c r="C60" s="6">
        <f t="shared" si="2"/>
        <v>12</v>
      </c>
      <c r="D60" s="3" t="s">
        <v>23</v>
      </c>
      <c r="E60" s="6" t="s">
        <v>131</v>
      </c>
      <c r="F60" s="6"/>
      <c r="G60" s="6" t="s">
        <v>9</v>
      </c>
      <c r="H60" s="28" t="s">
        <v>9</v>
      </c>
      <c r="I60" s="28" t="s">
        <v>9</v>
      </c>
      <c r="J60" s="28" t="s">
        <v>9</v>
      </c>
    </row>
    <row r="61" spans="2:10" ht="12" x14ac:dyDescent="0.2">
      <c r="B61" s="3" t="s">
        <v>87</v>
      </c>
      <c r="C61" s="6">
        <f t="shared" si="2"/>
        <v>13</v>
      </c>
      <c r="D61" s="3" t="s">
        <v>24</v>
      </c>
      <c r="E61" s="6" t="s">
        <v>131</v>
      </c>
      <c r="F61" s="6"/>
      <c r="G61" s="6" t="s">
        <v>9</v>
      </c>
      <c r="H61" s="28" t="s">
        <v>9</v>
      </c>
      <c r="I61" s="28" t="s">
        <v>9</v>
      </c>
      <c r="J61" s="28" t="s">
        <v>9</v>
      </c>
    </row>
    <row r="62" spans="2:10" ht="12" x14ac:dyDescent="0.2">
      <c r="B62" s="3" t="s">
        <v>87</v>
      </c>
      <c r="C62" s="6">
        <f t="shared" si="2"/>
        <v>14</v>
      </c>
      <c r="D62" s="3" t="s">
        <v>25</v>
      </c>
      <c r="E62" s="6" t="s">
        <v>131</v>
      </c>
      <c r="F62" s="6"/>
      <c r="G62" s="6" t="s">
        <v>9</v>
      </c>
      <c r="H62" s="28" t="s">
        <v>9</v>
      </c>
      <c r="I62" s="28" t="s">
        <v>9</v>
      </c>
      <c r="J62" s="28" t="s">
        <v>9</v>
      </c>
    </row>
    <row r="63" spans="2:10" ht="12" x14ac:dyDescent="0.2">
      <c r="B63" s="3" t="s">
        <v>87</v>
      </c>
      <c r="C63" s="6">
        <f t="shared" si="2"/>
        <v>15</v>
      </c>
      <c r="D63" s="3" t="s">
        <v>26</v>
      </c>
      <c r="E63" s="6" t="s">
        <v>131</v>
      </c>
      <c r="F63" s="6"/>
      <c r="G63" s="6" t="s">
        <v>9</v>
      </c>
      <c r="H63" s="28" t="s">
        <v>9</v>
      </c>
      <c r="I63" s="28" t="s">
        <v>9</v>
      </c>
      <c r="J63" s="28" t="s">
        <v>9</v>
      </c>
    </row>
    <row r="64" spans="2:10" ht="12" x14ac:dyDescent="0.2">
      <c r="B64" s="3" t="s">
        <v>87</v>
      </c>
      <c r="C64" s="6">
        <f t="shared" si="2"/>
        <v>16</v>
      </c>
      <c r="D64" s="3" t="s">
        <v>27</v>
      </c>
      <c r="E64" s="6" t="s">
        <v>131</v>
      </c>
      <c r="F64" s="6"/>
      <c r="G64" s="6" t="s">
        <v>9</v>
      </c>
      <c r="H64" s="28" t="s">
        <v>9</v>
      </c>
      <c r="I64" s="28" t="s">
        <v>9</v>
      </c>
      <c r="J64" s="28" t="s">
        <v>9</v>
      </c>
    </row>
    <row r="65" spans="2:10" ht="12" x14ac:dyDescent="0.2">
      <c r="B65" s="3" t="s">
        <v>87</v>
      </c>
      <c r="C65" s="6">
        <f t="shared" si="2"/>
        <v>17</v>
      </c>
      <c r="D65" s="3" t="s">
        <v>28</v>
      </c>
      <c r="E65" s="6" t="s">
        <v>131</v>
      </c>
      <c r="F65" s="6"/>
      <c r="G65" s="6" t="s">
        <v>9</v>
      </c>
      <c r="H65" s="28" t="s">
        <v>9</v>
      </c>
      <c r="I65" s="28" t="s">
        <v>9</v>
      </c>
      <c r="J65" s="28" t="s">
        <v>9</v>
      </c>
    </row>
    <row r="66" spans="2:10" ht="12" x14ac:dyDescent="0.2">
      <c r="B66" s="3" t="s">
        <v>87</v>
      </c>
      <c r="C66" s="6">
        <f t="shared" si="2"/>
        <v>18</v>
      </c>
      <c r="D66" s="3" t="s">
        <v>30</v>
      </c>
      <c r="E66" s="6" t="s">
        <v>131</v>
      </c>
      <c r="F66" s="6"/>
      <c r="G66" s="6" t="s">
        <v>9</v>
      </c>
      <c r="H66" s="28" t="s">
        <v>9</v>
      </c>
      <c r="I66" s="28" t="s">
        <v>9</v>
      </c>
      <c r="J66" s="28" t="s">
        <v>9</v>
      </c>
    </row>
    <row r="67" spans="2:10" ht="12" x14ac:dyDescent="0.2">
      <c r="B67" s="3" t="s">
        <v>87</v>
      </c>
      <c r="C67" s="6">
        <f t="shared" si="2"/>
        <v>19</v>
      </c>
      <c r="D67" s="3" t="s">
        <v>31</v>
      </c>
      <c r="E67" s="6" t="s">
        <v>131</v>
      </c>
      <c r="F67" s="6"/>
      <c r="G67" s="6" t="s">
        <v>9</v>
      </c>
      <c r="H67" s="28" t="s">
        <v>9</v>
      </c>
      <c r="I67" s="28" t="s">
        <v>9</v>
      </c>
      <c r="J67" s="28" t="s">
        <v>9</v>
      </c>
    </row>
    <row r="68" spans="2:10" ht="12" x14ac:dyDescent="0.2">
      <c r="B68" s="3" t="s">
        <v>87</v>
      </c>
      <c r="C68" s="6">
        <f t="shared" si="2"/>
        <v>20</v>
      </c>
      <c r="D68" s="3" t="s">
        <v>32</v>
      </c>
      <c r="E68" s="6" t="s">
        <v>131</v>
      </c>
      <c r="F68" s="6"/>
      <c r="G68" s="6" t="s">
        <v>9</v>
      </c>
      <c r="H68" s="28" t="s">
        <v>9</v>
      </c>
      <c r="I68" s="28" t="s">
        <v>9</v>
      </c>
      <c r="J68" s="28" t="s">
        <v>9</v>
      </c>
    </row>
    <row r="69" spans="2:10" ht="12" x14ac:dyDescent="0.2">
      <c r="B69" s="3" t="s">
        <v>87</v>
      </c>
      <c r="C69" s="6">
        <f t="shared" si="2"/>
        <v>21</v>
      </c>
      <c r="D69" s="3" t="s">
        <v>39</v>
      </c>
      <c r="E69" s="6" t="s">
        <v>131</v>
      </c>
      <c r="F69" s="6"/>
      <c r="G69" s="6" t="s">
        <v>9</v>
      </c>
      <c r="H69" s="28" t="s">
        <v>9</v>
      </c>
      <c r="I69" s="28" t="s">
        <v>9</v>
      </c>
      <c r="J69" s="28" t="s">
        <v>9</v>
      </c>
    </row>
    <row r="70" spans="2:10" ht="12" x14ac:dyDescent="0.2">
      <c r="B70" s="3" t="s">
        <v>87</v>
      </c>
      <c r="C70" s="6">
        <f t="shared" si="2"/>
        <v>22</v>
      </c>
      <c r="D70" s="3" t="s">
        <v>40</v>
      </c>
      <c r="E70" s="6" t="s">
        <v>131</v>
      </c>
      <c r="F70" s="6"/>
      <c r="G70" s="6" t="s">
        <v>9</v>
      </c>
      <c r="H70" s="28" t="s">
        <v>9</v>
      </c>
      <c r="I70" s="28" t="s">
        <v>9</v>
      </c>
      <c r="J70" s="28" t="s">
        <v>9</v>
      </c>
    </row>
    <row r="71" spans="2:10" ht="12" x14ac:dyDescent="0.2">
      <c r="B71" s="3" t="s">
        <v>87</v>
      </c>
      <c r="C71" s="6">
        <f t="shared" si="2"/>
        <v>23</v>
      </c>
      <c r="D71" s="3" t="s">
        <v>41</v>
      </c>
      <c r="E71" s="6" t="s">
        <v>131</v>
      </c>
      <c r="F71" s="6"/>
      <c r="G71" s="6" t="s">
        <v>9</v>
      </c>
      <c r="H71" s="28" t="s">
        <v>9</v>
      </c>
      <c r="I71" s="28" t="s">
        <v>9</v>
      </c>
      <c r="J71" s="28" t="s">
        <v>9</v>
      </c>
    </row>
    <row r="72" spans="2:10" ht="12" x14ac:dyDescent="0.2">
      <c r="B72" s="3" t="s">
        <v>87</v>
      </c>
      <c r="C72" s="6">
        <f t="shared" si="2"/>
        <v>24</v>
      </c>
      <c r="D72" s="3" t="s">
        <v>42</v>
      </c>
      <c r="E72" s="6" t="s">
        <v>131</v>
      </c>
      <c r="F72" s="6"/>
      <c r="G72" s="6" t="s">
        <v>9</v>
      </c>
      <c r="H72" s="28" t="s">
        <v>9</v>
      </c>
      <c r="I72" s="28" t="s">
        <v>9</v>
      </c>
      <c r="J72" s="28" t="s">
        <v>9</v>
      </c>
    </row>
    <row r="73" spans="2:10" ht="12" x14ac:dyDescent="0.2">
      <c r="B73" s="3" t="s">
        <v>87</v>
      </c>
      <c r="C73" s="6">
        <f t="shared" si="2"/>
        <v>25</v>
      </c>
      <c r="D73" s="3" t="s">
        <v>45</v>
      </c>
      <c r="E73" s="6" t="s">
        <v>131</v>
      </c>
      <c r="F73" s="6"/>
      <c r="G73" s="6" t="s">
        <v>9</v>
      </c>
      <c r="H73" s="28" t="s">
        <v>9</v>
      </c>
      <c r="I73" s="28" t="s">
        <v>9</v>
      </c>
      <c r="J73" s="28" t="s">
        <v>9</v>
      </c>
    </row>
    <row r="74" spans="2:10" ht="12" x14ac:dyDescent="0.2">
      <c r="B74" s="3" t="s">
        <v>87</v>
      </c>
      <c r="C74" s="6">
        <f t="shared" si="2"/>
        <v>26</v>
      </c>
      <c r="D74" s="3" t="s">
        <v>50</v>
      </c>
      <c r="E74" s="6" t="s">
        <v>131</v>
      </c>
      <c r="F74" s="6"/>
      <c r="G74" s="6" t="s">
        <v>14</v>
      </c>
      <c r="H74" s="28" t="s">
        <v>9</v>
      </c>
      <c r="I74" s="28" t="s">
        <v>9</v>
      </c>
      <c r="J74" s="28" t="s">
        <v>9</v>
      </c>
    </row>
    <row r="75" spans="2:10" ht="12" x14ac:dyDescent="0.2">
      <c r="B75" s="3" t="s">
        <v>87</v>
      </c>
      <c r="C75" s="6">
        <f t="shared" si="2"/>
        <v>27</v>
      </c>
      <c r="D75" s="3" t="s">
        <v>49</v>
      </c>
      <c r="E75" s="6" t="s">
        <v>131</v>
      </c>
      <c r="F75" s="6"/>
      <c r="G75" s="6" t="s">
        <v>14</v>
      </c>
      <c r="H75" s="28" t="s">
        <v>9</v>
      </c>
      <c r="I75" s="28" t="s">
        <v>9</v>
      </c>
      <c r="J75" s="28" t="s">
        <v>9</v>
      </c>
    </row>
    <row r="76" spans="2:10" ht="12" x14ac:dyDescent="0.2">
      <c r="B76" s="3" t="s">
        <v>87</v>
      </c>
      <c r="C76" s="6">
        <f t="shared" si="2"/>
        <v>28</v>
      </c>
      <c r="D76" s="3" t="s">
        <v>48</v>
      </c>
      <c r="E76" s="6" t="s">
        <v>131</v>
      </c>
      <c r="F76" s="6"/>
      <c r="G76" s="6" t="s">
        <v>14</v>
      </c>
      <c r="H76" s="28" t="s">
        <v>9</v>
      </c>
      <c r="I76" s="28" t="s">
        <v>9</v>
      </c>
      <c r="J76" s="28" t="s">
        <v>9</v>
      </c>
    </row>
    <row r="77" spans="2:10" ht="12" x14ac:dyDescent="0.2">
      <c r="B77" s="3" t="s">
        <v>87</v>
      </c>
      <c r="C77" s="6">
        <f t="shared" si="2"/>
        <v>29</v>
      </c>
      <c r="D77" s="3" t="s">
        <v>47</v>
      </c>
      <c r="E77" s="6" t="s">
        <v>131</v>
      </c>
      <c r="F77" s="6"/>
      <c r="G77" s="6" t="s">
        <v>14</v>
      </c>
      <c r="H77" s="28" t="s">
        <v>9</v>
      </c>
      <c r="I77" s="28" t="s">
        <v>9</v>
      </c>
      <c r="J77" s="28" t="s">
        <v>9</v>
      </c>
    </row>
    <row r="78" spans="2:10" ht="12" x14ac:dyDescent="0.2">
      <c r="B78" s="3" t="s">
        <v>87</v>
      </c>
      <c r="C78" s="6">
        <f t="shared" si="2"/>
        <v>30</v>
      </c>
      <c r="D78" s="3" t="s">
        <v>57</v>
      </c>
      <c r="E78" s="6" t="s">
        <v>131</v>
      </c>
      <c r="F78" s="6"/>
      <c r="G78" s="6" t="s">
        <v>9</v>
      </c>
      <c r="H78" s="28" t="s">
        <v>9</v>
      </c>
      <c r="I78" s="28" t="s">
        <v>9</v>
      </c>
      <c r="J78" s="28" t="s">
        <v>9</v>
      </c>
    </row>
    <row r="79" spans="2:10" ht="12" x14ac:dyDescent="0.2">
      <c r="B79" s="3" t="s">
        <v>87</v>
      </c>
      <c r="C79" s="6">
        <f t="shared" si="2"/>
        <v>31</v>
      </c>
      <c r="D79" s="3" t="s">
        <v>56</v>
      </c>
      <c r="E79" s="6" t="s">
        <v>131</v>
      </c>
      <c r="F79" s="6"/>
      <c r="G79" s="6" t="s">
        <v>9</v>
      </c>
      <c r="H79" s="28" t="s">
        <v>9</v>
      </c>
      <c r="I79" s="28" t="s">
        <v>9</v>
      </c>
      <c r="J79" s="28" t="s">
        <v>9</v>
      </c>
    </row>
    <row r="80" spans="2:10" ht="12" x14ac:dyDescent="0.2">
      <c r="B80" s="3" t="s">
        <v>87</v>
      </c>
      <c r="C80" s="6">
        <f t="shared" si="2"/>
        <v>32</v>
      </c>
      <c r="D80" s="3" t="s">
        <v>55</v>
      </c>
      <c r="E80" s="6" t="s">
        <v>131</v>
      </c>
      <c r="F80" s="6"/>
      <c r="G80" s="6" t="s">
        <v>14</v>
      </c>
      <c r="H80" s="28" t="s">
        <v>9</v>
      </c>
      <c r="I80" s="28" t="s">
        <v>9</v>
      </c>
      <c r="J80" s="28" t="s">
        <v>9</v>
      </c>
    </row>
    <row r="81" spans="2:10" ht="12" x14ac:dyDescent="0.2">
      <c r="B81" s="3" t="s">
        <v>87</v>
      </c>
      <c r="C81" s="6">
        <v>39</v>
      </c>
      <c r="D81" s="3" t="s">
        <v>144</v>
      </c>
      <c r="E81" s="6" t="s">
        <v>131</v>
      </c>
      <c r="F81" s="6"/>
      <c r="G81" s="6" t="s">
        <v>14</v>
      </c>
      <c r="H81" s="28" t="s">
        <v>9</v>
      </c>
      <c r="I81" s="28" t="s">
        <v>9</v>
      </c>
      <c r="J81" s="28" t="s">
        <v>9</v>
      </c>
    </row>
    <row r="82" spans="2:10" ht="12" x14ac:dyDescent="0.2">
      <c r="B82" s="3" t="s">
        <v>87</v>
      </c>
      <c r="C82" s="6">
        <f>C80+1</f>
        <v>33</v>
      </c>
      <c r="D82" s="3" t="s">
        <v>37</v>
      </c>
      <c r="E82" s="6" t="s">
        <v>131</v>
      </c>
      <c r="F82" s="6"/>
      <c r="G82" s="6" t="s">
        <v>14</v>
      </c>
      <c r="H82" s="6" t="s">
        <v>14</v>
      </c>
      <c r="I82" s="6" t="s">
        <v>14</v>
      </c>
      <c r="J82" s="28" t="s">
        <v>9</v>
      </c>
    </row>
    <row r="83" spans="2:10" ht="12" x14ac:dyDescent="0.2">
      <c r="B83" s="3" t="s">
        <v>87</v>
      </c>
      <c r="C83" s="6">
        <f t="shared" si="2"/>
        <v>34</v>
      </c>
      <c r="D83" s="3" t="s">
        <v>29</v>
      </c>
      <c r="E83" s="6" t="s">
        <v>131</v>
      </c>
      <c r="F83" s="6"/>
      <c r="G83" s="6" t="s">
        <v>14</v>
      </c>
      <c r="H83" s="6" t="s">
        <v>14</v>
      </c>
      <c r="I83" s="6" t="s">
        <v>14</v>
      </c>
      <c r="J83" s="28" t="s">
        <v>9</v>
      </c>
    </row>
    <row r="84" spans="2:10" ht="12" x14ac:dyDescent="0.2">
      <c r="B84" s="3" t="s">
        <v>87</v>
      </c>
      <c r="C84" s="6">
        <f t="shared" si="2"/>
        <v>35</v>
      </c>
      <c r="D84" s="3" t="s">
        <v>132</v>
      </c>
      <c r="E84" s="6" t="s">
        <v>131</v>
      </c>
      <c r="F84" s="6"/>
      <c r="G84" s="6" t="s">
        <v>14</v>
      </c>
      <c r="H84" s="6" t="s">
        <v>14</v>
      </c>
      <c r="I84" s="6" t="s">
        <v>14</v>
      </c>
      <c r="J84" s="28" t="s">
        <v>9</v>
      </c>
    </row>
    <row r="85" spans="2:10" ht="12" x14ac:dyDescent="0.2">
      <c r="B85" s="3" t="s">
        <v>87</v>
      </c>
      <c r="C85" s="6">
        <f t="shared" si="2"/>
        <v>36</v>
      </c>
      <c r="D85" s="3" t="s">
        <v>44</v>
      </c>
      <c r="E85" s="6" t="s">
        <v>131</v>
      </c>
      <c r="F85" s="6"/>
      <c r="G85" s="6" t="s">
        <v>14</v>
      </c>
      <c r="H85" s="6" t="s">
        <v>14</v>
      </c>
      <c r="I85" s="6" t="s">
        <v>14</v>
      </c>
      <c r="J85" s="28" t="s">
        <v>9</v>
      </c>
    </row>
    <row r="86" spans="2:10" ht="12" x14ac:dyDescent="0.2">
      <c r="B86" s="3" t="s">
        <v>87</v>
      </c>
      <c r="C86" s="6">
        <f t="shared" si="2"/>
        <v>37</v>
      </c>
      <c r="D86" s="3" t="s">
        <v>43</v>
      </c>
      <c r="E86" s="6" t="s">
        <v>131</v>
      </c>
      <c r="F86" s="6"/>
      <c r="G86" s="6" t="s">
        <v>14</v>
      </c>
      <c r="H86" s="6" t="s">
        <v>14</v>
      </c>
      <c r="I86" s="6" t="s">
        <v>14</v>
      </c>
      <c r="J86" s="28" t="s">
        <v>9</v>
      </c>
    </row>
    <row r="87" spans="2:10" ht="12" x14ac:dyDescent="0.2">
      <c r="B87" s="3" t="s">
        <v>87</v>
      </c>
      <c r="C87" s="6">
        <f t="shared" si="2"/>
        <v>38</v>
      </c>
      <c r="D87" s="3" t="s">
        <v>68</v>
      </c>
      <c r="E87" s="6" t="s">
        <v>131</v>
      </c>
      <c r="F87" s="6"/>
      <c r="G87" s="6" t="s">
        <v>14</v>
      </c>
      <c r="H87" s="6" t="s">
        <v>14</v>
      </c>
      <c r="I87" s="6" t="s">
        <v>14</v>
      </c>
      <c r="J87" s="6" t="s">
        <v>14</v>
      </c>
    </row>
    <row r="88" spans="2:10" ht="15" customHeight="1" x14ac:dyDescent="0.2">
      <c r="B88" s="11" t="s">
        <v>51</v>
      </c>
      <c r="C88" s="12"/>
      <c r="D88" s="12"/>
      <c r="E88" s="12"/>
      <c r="F88" s="12"/>
      <c r="G88" s="12"/>
      <c r="H88" s="12"/>
      <c r="I88" s="12"/>
      <c r="J88" s="13"/>
    </row>
    <row r="89" spans="2:10" ht="12" x14ac:dyDescent="0.2">
      <c r="B89" s="3" t="s">
        <v>88</v>
      </c>
      <c r="C89" s="6">
        <v>1</v>
      </c>
      <c r="D89" s="3" t="s">
        <v>53</v>
      </c>
      <c r="E89" s="6" t="s">
        <v>133</v>
      </c>
      <c r="F89" s="6" t="s">
        <v>14</v>
      </c>
      <c r="G89" s="6" t="s">
        <v>9</v>
      </c>
      <c r="H89" s="6" t="s">
        <v>9</v>
      </c>
      <c r="I89" s="6" t="s">
        <v>9</v>
      </c>
      <c r="J89" s="6" t="s">
        <v>9</v>
      </c>
    </row>
    <row r="90" spans="2:10" ht="12" x14ac:dyDescent="0.2">
      <c r="B90" s="3" t="s">
        <v>88</v>
      </c>
      <c r="C90" s="6">
        <v>2</v>
      </c>
      <c r="D90" s="3" t="s">
        <v>52</v>
      </c>
      <c r="E90" s="6" t="s">
        <v>133</v>
      </c>
      <c r="F90" s="6" t="s">
        <v>14</v>
      </c>
      <c r="G90" s="6" t="s">
        <v>9</v>
      </c>
      <c r="H90" s="6" t="s">
        <v>9</v>
      </c>
      <c r="I90" s="6" t="s">
        <v>9</v>
      </c>
      <c r="J90" s="6" t="s">
        <v>9</v>
      </c>
    </row>
    <row r="91" spans="2:10" ht="12" x14ac:dyDescent="0.2">
      <c r="B91" s="3" t="s">
        <v>88</v>
      </c>
      <c r="C91" s="6">
        <v>3</v>
      </c>
      <c r="D91" s="3" t="s">
        <v>54</v>
      </c>
      <c r="E91" s="6" t="s">
        <v>133</v>
      </c>
      <c r="F91" s="6" t="s">
        <v>14</v>
      </c>
      <c r="G91" s="6" t="s">
        <v>9</v>
      </c>
      <c r="H91" s="6" t="s">
        <v>9</v>
      </c>
      <c r="I91" s="6" t="s">
        <v>9</v>
      </c>
      <c r="J91" s="6" t="s">
        <v>9</v>
      </c>
    </row>
    <row r="92" spans="2:10" ht="12" x14ac:dyDescent="0.2">
      <c r="B92" s="3" t="s">
        <v>88</v>
      </c>
      <c r="C92" s="6">
        <v>4</v>
      </c>
      <c r="D92" s="3" t="s">
        <v>58</v>
      </c>
      <c r="E92" s="6" t="s">
        <v>133</v>
      </c>
      <c r="F92" s="6" t="s">
        <v>9</v>
      </c>
      <c r="G92" s="6" t="s">
        <v>9</v>
      </c>
      <c r="H92" s="6" t="s">
        <v>9</v>
      </c>
      <c r="I92" s="6" t="s">
        <v>9</v>
      </c>
      <c r="J92" s="6" t="s">
        <v>9</v>
      </c>
    </row>
    <row r="93" spans="2:10" ht="12" x14ac:dyDescent="0.2">
      <c r="B93" s="3" t="s">
        <v>88</v>
      </c>
      <c r="C93" s="6">
        <v>5</v>
      </c>
      <c r="D93" s="3" t="s">
        <v>59</v>
      </c>
      <c r="E93" s="6" t="s">
        <v>133</v>
      </c>
      <c r="F93" s="6" t="s">
        <v>14</v>
      </c>
      <c r="G93" s="6" t="s">
        <v>9</v>
      </c>
      <c r="H93" s="6" t="s">
        <v>9</v>
      </c>
      <c r="I93" s="6" t="s">
        <v>9</v>
      </c>
      <c r="J93" s="6" t="s">
        <v>9</v>
      </c>
    </row>
    <row r="94" spans="2:10" ht="15" customHeight="1" x14ac:dyDescent="0.2">
      <c r="B94" s="11" t="s">
        <v>67</v>
      </c>
      <c r="C94" s="12"/>
      <c r="D94" s="12"/>
      <c r="E94" s="12"/>
      <c r="F94" s="12"/>
      <c r="G94" s="12"/>
      <c r="H94" s="12"/>
      <c r="I94" s="12"/>
      <c r="J94" s="13"/>
    </row>
    <row r="95" spans="2:10" ht="12" x14ac:dyDescent="0.2">
      <c r="B95" s="3" t="s">
        <v>89</v>
      </c>
      <c r="C95" s="6">
        <v>1</v>
      </c>
      <c r="D95" s="3" t="s">
        <v>60</v>
      </c>
      <c r="E95" s="6" t="s">
        <v>134</v>
      </c>
      <c r="F95" s="6" t="s">
        <v>9</v>
      </c>
      <c r="G95" s="6" t="s">
        <v>9</v>
      </c>
      <c r="H95" s="6" t="s">
        <v>9</v>
      </c>
      <c r="I95" s="6" t="s">
        <v>9</v>
      </c>
      <c r="J95" s="6" t="s">
        <v>9</v>
      </c>
    </row>
    <row r="96" spans="2:10" ht="12" x14ac:dyDescent="0.2">
      <c r="B96" s="3" t="s">
        <v>89</v>
      </c>
      <c r="C96" s="6">
        <f t="shared" ref="C96:C106" si="3">C95+1</f>
        <v>2</v>
      </c>
      <c r="D96" s="3" t="s">
        <v>63</v>
      </c>
      <c r="E96" s="6" t="s">
        <v>134</v>
      </c>
      <c r="F96" s="6" t="s">
        <v>9</v>
      </c>
      <c r="G96" s="6" t="s">
        <v>9</v>
      </c>
      <c r="H96" s="6" t="s">
        <v>9</v>
      </c>
      <c r="I96" s="6" t="s">
        <v>9</v>
      </c>
      <c r="J96" s="6" t="s">
        <v>9</v>
      </c>
    </row>
    <row r="97" spans="2:10" ht="12" x14ac:dyDescent="0.2">
      <c r="B97" s="3" t="s">
        <v>89</v>
      </c>
      <c r="C97" s="6">
        <f t="shared" si="3"/>
        <v>3</v>
      </c>
      <c r="D97" s="3" t="s">
        <v>62</v>
      </c>
      <c r="E97" s="6" t="s">
        <v>134</v>
      </c>
      <c r="F97" s="6" t="s">
        <v>9</v>
      </c>
      <c r="G97" s="6" t="s">
        <v>9</v>
      </c>
      <c r="H97" s="6" t="s">
        <v>9</v>
      </c>
      <c r="I97" s="6" t="s">
        <v>9</v>
      </c>
      <c r="J97" s="6" t="s">
        <v>9</v>
      </c>
    </row>
    <row r="98" spans="2:10" ht="12" x14ac:dyDescent="0.2">
      <c r="B98" s="3" t="s">
        <v>89</v>
      </c>
      <c r="C98" s="6">
        <f t="shared" si="3"/>
        <v>4</v>
      </c>
      <c r="D98" s="3" t="s">
        <v>61</v>
      </c>
      <c r="E98" s="6" t="s">
        <v>134</v>
      </c>
      <c r="F98" s="6" t="s">
        <v>9</v>
      </c>
      <c r="G98" s="6" t="s">
        <v>9</v>
      </c>
      <c r="H98" s="6" t="s">
        <v>9</v>
      </c>
      <c r="I98" s="6" t="s">
        <v>9</v>
      </c>
      <c r="J98" s="6" t="s">
        <v>9</v>
      </c>
    </row>
    <row r="99" spans="2:10" ht="12" x14ac:dyDescent="0.2">
      <c r="B99" s="3" t="s">
        <v>89</v>
      </c>
      <c r="C99" s="6">
        <f t="shared" si="3"/>
        <v>5</v>
      </c>
      <c r="D99" s="3" t="s">
        <v>92</v>
      </c>
      <c r="E99" s="6" t="s">
        <v>134</v>
      </c>
      <c r="F99" s="6" t="s">
        <v>9</v>
      </c>
      <c r="G99" s="6" t="s">
        <v>9</v>
      </c>
      <c r="H99" s="6" t="s">
        <v>9</v>
      </c>
      <c r="I99" s="6" t="s">
        <v>9</v>
      </c>
      <c r="J99" s="6" t="s">
        <v>9</v>
      </c>
    </row>
    <row r="100" spans="2:10" ht="12" x14ac:dyDescent="0.2">
      <c r="B100" s="3" t="s">
        <v>89</v>
      </c>
      <c r="C100" s="6">
        <f t="shared" si="3"/>
        <v>6</v>
      </c>
      <c r="D100" s="3" t="s">
        <v>91</v>
      </c>
      <c r="E100" s="6" t="s">
        <v>134</v>
      </c>
      <c r="F100" s="6" t="s">
        <v>9</v>
      </c>
      <c r="G100" s="6" t="s">
        <v>9</v>
      </c>
      <c r="H100" s="6" t="s">
        <v>9</v>
      </c>
      <c r="I100" s="6" t="s">
        <v>9</v>
      </c>
      <c r="J100" s="6" t="s">
        <v>9</v>
      </c>
    </row>
    <row r="101" spans="2:10" ht="12" x14ac:dyDescent="0.2">
      <c r="B101" s="3" t="s">
        <v>89</v>
      </c>
      <c r="C101" s="6">
        <f t="shared" si="3"/>
        <v>7</v>
      </c>
      <c r="D101" s="3" t="s">
        <v>90</v>
      </c>
      <c r="E101" s="6" t="s">
        <v>134</v>
      </c>
      <c r="F101" s="6" t="s">
        <v>9</v>
      </c>
      <c r="G101" s="6" t="s">
        <v>9</v>
      </c>
      <c r="H101" s="6" t="s">
        <v>9</v>
      </c>
      <c r="I101" s="6" t="s">
        <v>9</v>
      </c>
      <c r="J101" s="6" t="s">
        <v>9</v>
      </c>
    </row>
    <row r="102" spans="2:10" ht="12" x14ac:dyDescent="0.2">
      <c r="B102" s="3" t="s">
        <v>89</v>
      </c>
      <c r="C102" s="6">
        <f t="shared" si="3"/>
        <v>8</v>
      </c>
      <c r="D102" s="3" t="s">
        <v>125</v>
      </c>
      <c r="E102" s="6" t="s">
        <v>134</v>
      </c>
      <c r="F102" s="6" t="s">
        <v>9</v>
      </c>
      <c r="G102" s="6" t="s">
        <v>9</v>
      </c>
      <c r="H102" s="6" t="s">
        <v>9</v>
      </c>
      <c r="I102" s="6" t="s">
        <v>9</v>
      </c>
      <c r="J102" s="6" t="s">
        <v>9</v>
      </c>
    </row>
    <row r="103" spans="2:10" ht="12" x14ac:dyDescent="0.2">
      <c r="B103" s="3" t="s">
        <v>89</v>
      </c>
      <c r="C103" s="6">
        <f t="shared" si="3"/>
        <v>9</v>
      </c>
      <c r="D103" s="3" t="s">
        <v>124</v>
      </c>
      <c r="E103" s="6" t="s">
        <v>134</v>
      </c>
      <c r="F103" s="6" t="s">
        <v>9</v>
      </c>
      <c r="G103" s="6" t="s">
        <v>9</v>
      </c>
      <c r="H103" s="6" t="s">
        <v>9</v>
      </c>
      <c r="I103" s="6" t="s">
        <v>9</v>
      </c>
      <c r="J103" s="6" t="s">
        <v>9</v>
      </c>
    </row>
    <row r="104" spans="2:10" ht="12" x14ac:dyDescent="0.2">
      <c r="B104" s="3" t="s">
        <v>89</v>
      </c>
      <c r="C104" s="6">
        <f t="shared" si="3"/>
        <v>10</v>
      </c>
      <c r="D104" s="3" t="s">
        <v>64</v>
      </c>
      <c r="E104" s="6" t="s">
        <v>134</v>
      </c>
      <c r="F104" s="6" t="s">
        <v>9</v>
      </c>
      <c r="G104" s="6" t="s">
        <v>9</v>
      </c>
      <c r="H104" s="6" t="s">
        <v>9</v>
      </c>
      <c r="I104" s="6" t="s">
        <v>9</v>
      </c>
      <c r="J104" s="6" t="s">
        <v>9</v>
      </c>
    </row>
    <row r="105" spans="2:10" ht="12" x14ac:dyDescent="0.2">
      <c r="B105" s="3" t="s">
        <v>89</v>
      </c>
      <c r="C105" s="6">
        <f t="shared" si="3"/>
        <v>11</v>
      </c>
      <c r="D105" s="3" t="s">
        <v>65</v>
      </c>
      <c r="E105" s="6" t="s">
        <v>134</v>
      </c>
      <c r="F105" s="6" t="s">
        <v>9</v>
      </c>
      <c r="G105" s="6" t="s">
        <v>9</v>
      </c>
      <c r="H105" s="6" t="s">
        <v>9</v>
      </c>
      <c r="I105" s="6" t="s">
        <v>9</v>
      </c>
      <c r="J105" s="6" t="s">
        <v>9</v>
      </c>
    </row>
    <row r="106" spans="2:10" ht="12" x14ac:dyDescent="0.2">
      <c r="B106" s="3" t="s">
        <v>89</v>
      </c>
      <c r="C106" s="6">
        <f t="shared" si="3"/>
        <v>12</v>
      </c>
      <c r="D106" s="3" t="s">
        <v>66</v>
      </c>
      <c r="E106" s="6" t="s">
        <v>134</v>
      </c>
      <c r="F106" s="6" t="s">
        <v>9</v>
      </c>
      <c r="G106" s="6" t="s">
        <v>9</v>
      </c>
      <c r="H106" s="6" t="s">
        <v>9</v>
      </c>
      <c r="I106" s="6" t="s">
        <v>9</v>
      </c>
      <c r="J106" s="6" t="s">
        <v>9</v>
      </c>
    </row>
  </sheetData>
  <mergeCells count="5">
    <mergeCell ref="B46:J46"/>
    <mergeCell ref="B88:J88"/>
    <mergeCell ref="B94:J94"/>
    <mergeCell ref="B2:J2"/>
    <mergeCell ref="B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764C-6534-4177-AFDD-3FC8F474430F}">
  <dimension ref="B2:C31"/>
  <sheetViews>
    <sheetView workbookViewId="0">
      <selection activeCell="E12" sqref="E12"/>
    </sheetView>
  </sheetViews>
  <sheetFormatPr defaultRowHeight="15" x14ac:dyDescent="0.25"/>
  <cols>
    <col min="1" max="1" width="9.42578125" customWidth="1"/>
    <col min="2" max="2" width="64" customWidth="1"/>
    <col min="4" max="4" width="2.42578125" customWidth="1"/>
    <col min="5" max="5" width="59.28515625" customWidth="1"/>
    <col min="6" max="6" width="22.140625" customWidth="1"/>
  </cols>
  <sheetData>
    <row r="2" spans="2:3" x14ac:dyDescent="0.25">
      <c r="B2" s="2" t="s">
        <v>153</v>
      </c>
      <c r="C2" s="2"/>
    </row>
    <row r="3" spans="2:3" x14ac:dyDescent="0.25">
      <c r="B3" s="39" t="s">
        <v>139</v>
      </c>
      <c r="C3" s="39" t="s">
        <v>141</v>
      </c>
    </row>
    <row r="4" spans="2:3" x14ac:dyDescent="0.25">
      <c r="B4" s="1" t="s">
        <v>84</v>
      </c>
      <c r="C4" s="1">
        <f>ALLGrad!C23</f>
        <v>19</v>
      </c>
    </row>
    <row r="5" spans="2:3" x14ac:dyDescent="0.25">
      <c r="B5" s="1" t="s">
        <v>135</v>
      </c>
      <c r="C5" s="1">
        <f>ALLGrad!C43</f>
        <v>18</v>
      </c>
    </row>
    <row r="6" spans="2:3" x14ac:dyDescent="0.25">
      <c r="B6" s="1" t="s">
        <v>136</v>
      </c>
      <c r="C6" s="1">
        <v>39</v>
      </c>
    </row>
    <row r="7" spans="2:3" x14ac:dyDescent="0.25">
      <c r="B7" s="1" t="s">
        <v>138</v>
      </c>
      <c r="C7" s="1">
        <f>ALLGrad!C93</f>
        <v>5</v>
      </c>
    </row>
    <row r="8" spans="2:3" x14ac:dyDescent="0.25">
      <c r="B8" s="1" t="s">
        <v>137</v>
      </c>
      <c r="C8" s="1">
        <f>ALLGrad!C106</f>
        <v>12</v>
      </c>
    </row>
    <row r="9" spans="2:3" x14ac:dyDescent="0.25">
      <c r="B9" s="1" t="s">
        <v>140</v>
      </c>
      <c r="C9" s="1">
        <f>SUM(C4:C8)</f>
        <v>93</v>
      </c>
    </row>
    <row r="11" spans="2:3" x14ac:dyDescent="0.25">
      <c r="B11" s="40" t="s">
        <v>142</v>
      </c>
      <c r="C11" s="40"/>
    </row>
    <row r="12" spans="2:3" x14ac:dyDescent="0.25">
      <c r="B12" s="42" t="s">
        <v>152</v>
      </c>
    </row>
    <row r="13" spans="2:3" x14ac:dyDescent="0.25">
      <c r="B13" t="s">
        <v>146</v>
      </c>
    </row>
    <row r="14" spans="2:3" x14ac:dyDescent="0.25">
      <c r="B14" t="s">
        <v>150</v>
      </c>
    </row>
    <row r="15" spans="2:3" x14ac:dyDescent="0.25">
      <c r="B15" t="s">
        <v>151</v>
      </c>
    </row>
    <row r="18" spans="2:3" x14ac:dyDescent="0.25">
      <c r="B18" s="2" t="s">
        <v>154</v>
      </c>
      <c r="C18" s="2"/>
    </row>
    <row r="19" spans="2:3" x14ac:dyDescent="0.25">
      <c r="B19" s="41" t="s">
        <v>139</v>
      </c>
      <c r="C19" s="41" t="s">
        <v>141</v>
      </c>
    </row>
    <row r="20" spans="2:3" x14ac:dyDescent="0.25">
      <c r="B20" s="1" t="s">
        <v>84</v>
      </c>
      <c r="C20" s="1">
        <v>15</v>
      </c>
    </row>
    <row r="21" spans="2:3" x14ac:dyDescent="0.25">
      <c r="B21" s="1" t="s">
        <v>135</v>
      </c>
      <c r="C21" s="1">
        <f>C5</f>
        <v>18</v>
      </c>
    </row>
    <row r="22" spans="2:3" x14ac:dyDescent="0.25">
      <c r="B22" s="1" t="s">
        <v>136</v>
      </c>
      <c r="C22" s="1">
        <v>0</v>
      </c>
    </row>
    <row r="23" spans="2:3" x14ac:dyDescent="0.25">
      <c r="B23" s="1" t="s">
        <v>138</v>
      </c>
      <c r="C23" s="1">
        <v>0</v>
      </c>
    </row>
    <row r="24" spans="2:3" x14ac:dyDescent="0.25">
      <c r="B24" s="1" t="s">
        <v>137</v>
      </c>
      <c r="C24" s="1">
        <v>0</v>
      </c>
    </row>
    <row r="25" spans="2:3" x14ac:dyDescent="0.25">
      <c r="B25" s="1" t="s">
        <v>140</v>
      </c>
      <c r="C25" s="1">
        <f>SUM(C20:C24)</f>
        <v>33</v>
      </c>
    </row>
    <row r="27" spans="2:3" x14ac:dyDescent="0.25">
      <c r="B27" s="40" t="s">
        <v>143</v>
      </c>
      <c r="C27" s="40"/>
    </row>
    <row r="28" spans="2:3" x14ac:dyDescent="0.25">
      <c r="B28" t="s">
        <v>145</v>
      </c>
    </row>
    <row r="29" spans="2:3" x14ac:dyDescent="0.25">
      <c r="B29" t="s">
        <v>147</v>
      </c>
    </row>
    <row r="30" spans="2:3" x14ac:dyDescent="0.25">
      <c r="B30" t="s">
        <v>148</v>
      </c>
    </row>
    <row r="31" spans="2:3" x14ac:dyDescent="0.25">
      <c r="B31" t="s">
        <v>149</v>
      </c>
    </row>
  </sheetData>
  <mergeCells count="2">
    <mergeCell ref="B2:C2"/>
    <mergeCell ref="B18:C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0B47EA377D742AD885E0F788B1A50" ma:contentTypeVersion="11" ma:contentTypeDescription="Create a new document." ma:contentTypeScope="" ma:versionID="3cba78d7a890b6cb15017c728bf47db9">
  <xsd:schema xmlns:xsd="http://www.w3.org/2001/XMLSchema" xmlns:xs="http://www.w3.org/2001/XMLSchema" xmlns:p="http://schemas.microsoft.com/office/2006/metadata/properties" xmlns:ns3="2cc66ad5-fb7b-495d-b30f-85bcbad3d1ef" targetNamespace="http://schemas.microsoft.com/office/2006/metadata/properties" ma:root="true" ma:fieldsID="551ea2c3996aac9f5a030428ba64e032" ns3:_="">
    <xsd:import namespace="2cc66ad5-fb7b-495d-b30f-85bcbad3d1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66ad5-fb7b-495d-b30f-85bcbad3d1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66ad5-fb7b-495d-b30f-85bcbad3d1ef" xsi:nil="true"/>
  </documentManagement>
</p:properties>
</file>

<file path=customXml/itemProps1.xml><?xml version="1.0" encoding="utf-8"?>
<ds:datastoreItem xmlns:ds="http://schemas.openxmlformats.org/officeDocument/2006/customXml" ds:itemID="{07F09F57-7975-4017-9742-E2DDD9269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66ad5-fb7b-495d-b30f-85bcbad3d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674BE2-015B-490B-A33C-862BFCA222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60A1D8-4AAB-4492-8A3C-A5B8739D5716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2cc66ad5-fb7b-495d-b30f-85bcbad3d1ef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ALLGrad</vt:lpstr>
      <vt:lpstr>Summary24And25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Stritzinger, John</dc:creator>
  <cp:lastModifiedBy>Stritzinger, John</cp:lastModifiedBy>
  <dcterms:created xsi:type="dcterms:W3CDTF">2025-12-21T17:33:34Z</dcterms:created>
  <dcterms:modified xsi:type="dcterms:W3CDTF">2025-12-21T20:44:38Z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0x010100F300B47EA377D742AD885E0F788B1A50</vt:lpwstr>
  </property>
</Properties>
</file>